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2cd260ffbc2b3d/Desktop/CUDA-RayTracing/output/logs/"/>
    </mc:Choice>
  </mc:AlternateContent>
  <xr:revisionPtr revIDLastSave="234" documentId="8_{9E9452EF-19DD-4BEC-A9AE-041B0939CC26}" xr6:coauthVersionLast="47" xr6:coauthVersionMax="47" xr10:uidLastSave="{0946958B-ECF6-47D0-A420-EE7504253189}"/>
  <bookViews>
    <workbookView xWindow="16335" yWindow="4020" windowWidth="15210" windowHeight="18480" activeTab="1" xr2:uid="{F345F22F-9ED6-47DB-A09B-035A55087613}"/>
  </bookViews>
  <sheets>
    <sheet name="Raw Data" sheetId="1" r:id="rId1"/>
    <sheet name="Processed Data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H5" i="3"/>
  <c r="I4" i="3"/>
  <c r="H4" i="3"/>
  <c r="I3" i="3"/>
  <c r="H3" i="3"/>
  <c r="I2" i="3"/>
  <c r="H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2" i="2"/>
  <c r="AE7" i="1"/>
  <c r="AE42" i="1"/>
  <c r="AI7" i="1"/>
  <c r="AG7" i="1"/>
  <c r="AG12" i="1"/>
  <c r="AG17" i="1"/>
  <c r="AG22" i="1"/>
  <c r="AG27" i="1"/>
  <c r="AG32" i="1"/>
  <c r="AG37" i="1"/>
  <c r="AG42" i="1"/>
  <c r="AG47" i="1"/>
  <c r="AG52" i="1"/>
  <c r="AG57" i="1"/>
  <c r="AG62" i="1"/>
  <c r="AG67" i="1"/>
  <c r="AG72" i="1"/>
  <c r="AG77" i="1"/>
  <c r="AG2" i="1"/>
  <c r="AD7" i="1"/>
  <c r="AD12" i="1"/>
  <c r="AE12" i="1" s="1"/>
  <c r="AD17" i="1"/>
  <c r="AE17" i="1" s="1"/>
  <c r="AD22" i="1"/>
  <c r="AE22" i="1" s="1"/>
  <c r="AD27" i="1"/>
  <c r="AE27" i="1" s="1"/>
  <c r="AD32" i="1"/>
  <c r="AE32" i="1" s="1"/>
  <c r="AD37" i="1"/>
  <c r="AE37" i="1" s="1"/>
  <c r="AD42" i="1"/>
  <c r="AD47" i="1"/>
  <c r="AD52" i="1"/>
  <c r="AD57" i="1"/>
  <c r="AD62" i="1"/>
  <c r="AD67" i="1"/>
  <c r="AD72" i="1"/>
  <c r="AD77" i="1"/>
  <c r="AD2" i="1"/>
  <c r="AF7" i="1"/>
  <c r="AH7" i="1" s="1"/>
  <c r="AF12" i="1"/>
  <c r="AI12" i="1" s="1"/>
  <c r="AF17" i="1"/>
  <c r="AH17" i="1" s="1"/>
  <c r="AF22" i="1"/>
  <c r="AI22" i="1" s="1"/>
  <c r="AF27" i="1"/>
  <c r="AI27" i="1" s="1"/>
  <c r="AF32" i="1"/>
  <c r="AI32" i="1" s="1"/>
  <c r="AF37" i="1"/>
  <c r="AI37" i="1" s="1"/>
  <c r="AF42" i="1"/>
  <c r="AH42" i="1" s="1"/>
  <c r="AF47" i="1"/>
  <c r="AI47" i="1" s="1"/>
  <c r="AF52" i="1"/>
  <c r="AI52" i="1" s="1"/>
  <c r="AF57" i="1"/>
  <c r="AI57" i="1" s="1"/>
  <c r="AF62" i="1"/>
  <c r="AH62" i="1" s="1"/>
  <c r="AF67" i="1"/>
  <c r="AI67" i="1" s="1"/>
  <c r="AF72" i="1"/>
  <c r="AI72" i="1" s="1"/>
  <c r="AF77" i="1"/>
  <c r="AI77" i="1" s="1"/>
  <c r="AF2" i="1"/>
  <c r="AI2" i="1" s="1"/>
  <c r="AC7" i="1"/>
  <c r="AC12" i="1"/>
  <c r="AC17" i="1"/>
  <c r="AC22" i="1"/>
  <c r="AC27" i="1"/>
  <c r="AC32" i="1"/>
  <c r="AC37" i="1"/>
  <c r="AC42" i="1"/>
  <c r="AC47" i="1"/>
  <c r="AE47" i="1" s="1"/>
  <c r="AC52" i="1"/>
  <c r="AE52" i="1" s="1"/>
  <c r="AC57" i="1"/>
  <c r="AE57" i="1" s="1"/>
  <c r="AC62" i="1"/>
  <c r="AE62" i="1" s="1"/>
  <c r="AC67" i="1"/>
  <c r="AE67" i="1" s="1"/>
  <c r="AC72" i="1"/>
  <c r="AE72" i="1" s="1"/>
  <c r="AC77" i="1"/>
  <c r="AE77" i="1" s="1"/>
  <c r="AC2" i="1"/>
  <c r="AE2" i="1" s="1"/>
  <c r="AH77" i="1" l="1"/>
  <c r="AI62" i="1"/>
  <c r="AH72" i="1"/>
  <c r="AH2" i="1"/>
  <c r="AH67" i="1"/>
  <c r="AI42" i="1"/>
  <c r="AH57" i="1"/>
  <c r="AI17" i="1"/>
  <c r="AH52" i="1"/>
  <c r="AH47" i="1"/>
  <c r="AH37" i="1"/>
  <c r="AH32" i="1"/>
  <c r="AH27" i="1"/>
  <c r="AH22" i="1"/>
  <c r="AH12" i="1"/>
</calcChain>
</file>

<file path=xl/sharedStrings.xml><?xml version="1.0" encoding="utf-8"?>
<sst xmlns="http://schemas.openxmlformats.org/spreadsheetml/2006/main" count="930" uniqueCount="88">
  <si>
    <t>Datetime</t>
  </si>
  <si>
    <t>Gpu</t>
  </si>
  <si>
    <t>CC</t>
  </si>
  <si>
    <t>SMS</t>
  </si>
  <si>
    <t>Resolution</t>
  </si>
  <si>
    <t>Scene</t>
  </si>
  <si>
    <t>Filter</t>
  </si>
  <si>
    <t>PostFX Settings</t>
  </si>
  <si>
    <t>GPU Primary (ms)</t>
  </si>
  <si>
    <t>GPU PostFX (ms)</t>
  </si>
  <si>
    <t>GPU Total (ms)</t>
  </si>
  <si>
    <t>CPU Primary (ms)</t>
  </si>
  <si>
    <t>CPU PostFX (ms)</t>
  </si>
  <si>
    <t>CPU Total (ms)</t>
  </si>
  <si>
    <t>MPx</t>
  </si>
  <si>
    <t>GPU MPx (s)</t>
  </si>
  <si>
    <t>CPU MPx (s)</t>
  </si>
  <si>
    <t>PostFX (bytes)</t>
  </si>
  <si>
    <t>GPU PostFX (GB/s)</t>
  </si>
  <si>
    <t>GPU Grid X</t>
  </si>
  <si>
    <t>GPU Grid Y</t>
  </si>
  <si>
    <t>GPU Block X</t>
  </si>
  <si>
    <t>GPU Block Y</t>
  </si>
  <si>
    <t>Seed</t>
  </si>
  <si>
    <t>Repeats</t>
  </si>
  <si>
    <t>RunIndex</t>
  </si>
  <si>
    <t>CRC_GPU_RAW</t>
  </si>
  <si>
    <t>CRC_CPU_RAW</t>
  </si>
  <si>
    <t>GPU Time AVG</t>
  </si>
  <si>
    <t>GPU Deviation</t>
  </si>
  <si>
    <t>GPU Mean</t>
  </si>
  <si>
    <t>CPU Time AVG</t>
  </si>
  <si>
    <t>CPU Deviation</t>
  </si>
  <si>
    <t>CPU Mean</t>
  </si>
  <si>
    <t>Speedup</t>
  </si>
  <si>
    <t>NVIDIA GeForce RTX 4090</t>
  </si>
  <si>
    <t>640x480</t>
  </si>
  <si>
    <t>Cornell</t>
  </si>
  <si>
    <t>Off</t>
  </si>
  <si>
    <t>OFF</t>
  </si>
  <si>
    <t>NaN</t>
  </si>
  <si>
    <t>0x0</t>
  </si>
  <si>
    <t>1280x720</t>
  </si>
  <si>
    <t>1920x1080</t>
  </si>
  <si>
    <t>3840x2160</t>
  </si>
  <si>
    <t>Cornell | Spheres</t>
  </si>
  <si>
    <t>Cornell | Cubes</t>
  </si>
  <si>
    <t>Cornell | Spheres | Cubes</t>
  </si>
  <si>
    <t>GPU Time (ms)</t>
  </si>
  <si>
    <t>GPU Error (ms)</t>
  </si>
  <si>
    <t>CPU Time (ms)</t>
  </si>
  <si>
    <t>CPU Error (ms)</t>
  </si>
  <si>
    <t>PostFX GPU (ms)</t>
  </si>
  <si>
    <t>PostFX CPU</t>
  </si>
  <si>
    <t>0.165 ± 0.004</t>
  </si>
  <si>
    <t>960.4 ± 15.2</t>
  </si>
  <si>
    <t>0.357 ± 0.005</t>
  </si>
  <si>
    <t>2726.7 ± 20.5</t>
  </si>
  <si>
    <t>0.740 ± 0.007</t>
  </si>
  <si>
    <t>6055.7 ± 92.5</t>
  </si>
  <si>
    <t>2.876 ± 0.192</t>
  </si>
  <si>
    <t>24647.9 ± 165.9</t>
  </si>
  <si>
    <t>0.373 ± 0.006</t>
  </si>
  <si>
    <t>1288.8 ± 17.9</t>
  </si>
  <si>
    <t>0.552 ± 0.004</t>
  </si>
  <si>
    <t>3516.0 ± 37.1</t>
  </si>
  <si>
    <t>0.973 ± 0.004</t>
  </si>
  <si>
    <t>7885.7 ± 90.1</t>
  </si>
  <si>
    <t>3.980 ± 0.307</t>
  </si>
  <si>
    <t>31773.3 ± 521.8</t>
  </si>
  <si>
    <t>0.576 ± 0.118</t>
  </si>
  <si>
    <t>2697.1 ± 13.5</t>
  </si>
  <si>
    <t>1.088 ± 0.236</t>
  </si>
  <si>
    <t>7253.3 ± 184.0</t>
  </si>
  <si>
    <t>2.186 ± 0.255</t>
  </si>
  <si>
    <t>16241.9 ± 368.4</t>
  </si>
  <si>
    <t>8.457 ± 0.067</t>
  </si>
  <si>
    <t>65308.4 ± 1249.5</t>
  </si>
  <si>
    <t>1.775 ± 0.205</t>
  </si>
  <si>
    <t>3199.4 ± 55.1</t>
  </si>
  <si>
    <t>1.966 ± 0.248</t>
  </si>
  <si>
    <t>8545.0 ± 140.2</t>
  </si>
  <si>
    <t>2.635 ± 0.006</t>
  </si>
  <si>
    <t>19242.9 ± 289.3</t>
  </si>
  <si>
    <t>10.200 ± 0.185</t>
  </si>
  <si>
    <t>76663.6 ± 1122.1</t>
  </si>
  <si>
    <t>Render Speedup</t>
  </si>
  <si>
    <t>PostFX Speedup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</si>
</sst>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Primary Render Time vs Resolution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GPU Time (ms)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Charts!$A$2:$A$5</c:f>
              <c:strCache>
                <c:ptCount val="4"/>
                <c:pt idx="0">
                  <c:v>640x480</c:v>
                </c:pt>
                <c:pt idx="1">
                  <c:v>1280x720</c:v>
                </c:pt>
                <c:pt idx="2">
                  <c:v>1920x1080</c:v>
                </c:pt>
                <c:pt idx="3">
                  <c:v>3840x2160</c:v>
                </c:pt>
              </c:strCache>
            </c:strRef>
          </c:cat>
          <c:val>
            <c:numRef>
              <c:f>Charts!$B$2:$B$5</c:f>
              <c:numCache>
                <c:formatCode>General</c:formatCode>
                <c:ptCount val="4"/>
                <c:pt idx="0">
                  <c:v>1.7754000000000001</c:v>
                </c:pt>
                <c:pt idx="1">
                  <c:v>1.966</c:v>
                </c:pt>
                <c:pt idx="2">
                  <c:v>2.6353999999999997</c:v>
                </c:pt>
                <c:pt idx="3">
                  <c:v>10.200399999999998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3-42DA-91E9-296EA9A69AFD}"/>
            </c:ext>
          </c:extLst>
        </c:ser>
        <c:ser>
          <c:idx val="1"/>
          <c:order val="1"/>
          <c:tx>
            <c:strRef>
              <c:f>Charts!$E$1</c:f>
              <c:strCache>
                <c:ptCount val="1"/>
                <c:pt idx="0">
                  <c:v>CPU Time (ms)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Charts!$A$2:$A$5</c:f>
              <c:strCache>
                <c:ptCount val="4"/>
                <c:pt idx="0">
                  <c:v>640x480</c:v>
                </c:pt>
                <c:pt idx="1">
                  <c:v>1280x720</c:v>
                </c:pt>
                <c:pt idx="2">
                  <c:v>1920x1080</c:v>
                </c:pt>
                <c:pt idx="3">
                  <c:v>3840x2160</c:v>
                </c:pt>
              </c:strCache>
            </c:strRef>
          </c:cat>
          <c:val>
            <c:numRef>
              <c:f>Charts!$E$2:$E$5</c:f>
              <c:numCache>
                <c:formatCode>General</c:formatCode>
                <c:ptCount val="4"/>
                <c:pt idx="0">
                  <c:v>3199.4057999999995</c:v>
                </c:pt>
                <c:pt idx="1">
                  <c:v>8545.0185999999994</c:v>
                </c:pt>
                <c:pt idx="2">
                  <c:v>19242.911</c:v>
                </c:pt>
                <c:pt idx="3">
                  <c:v>76663.573800000013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E3-42DA-91E9-296EA9A69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345647"/>
        <c:axId val="1545346607"/>
      </c:lineChart>
      <c:catAx>
        <c:axId val="1545345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Resolution</a:t>
                </a:r>
              </a:p>
            </c:rich>
          </c:tx>
          <c:layout>
            <c:manualLayout>
              <c:xMode val="edge"/>
              <c:yMode val="edge"/>
              <c:x val="0.43559475693452815"/>
              <c:y val="0.80981408573928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346607"/>
        <c:crosses val="autoZero"/>
        <c:auto val="1"/>
        <c:lblAlgn val="ctr"/>
        <c:lblOffset val="100"/>
        <c:noMultiLvlLbl val="0"/>
      </c:catAx>
      <c:valAx>
        <c:axId val="1545346607"/>
        <c:scaling>
          <c:logBase val="10"/>
          <c:orientation val="minMax"/>
          <c:max val="100000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34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Charts!$H$1</c:f>
              <c:strCache>
                <c:ptCount val="1"/>
                <c:pt idx="0">
                  <c:v>Render Speedup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Charts!$A$2:$A$5</c:f>
              <c:strCache>
                <c:ptCount val="4"/>
                <c:pt idx="0">
                  <c:v>640x480</c:v>
                </c:pt>
                <c:pt idx="1">
                  <c:v>1280x720</c:v>
                </c:pt>
                <c:pt idx="2">
                  <c:v>1920x1080</c:v>
                </c:pt>
                <c:pt idx="3">
                  <c:v>3840x2160</c:v>
                </c:pt>
              </c:strCache>
            </c:strRef>
          </c:cat>
          <c:val>
            <c:numRef>
              <c:f>Charts!$H$2:$H$5</c:f>
              <c:numCache>
                <c:formatCode>General</c:formatCode>
                <c:ptCount val="4"/>
                <c:pt idx="0">
                  <c:v>1802.1</c:v>
                </c:pt>
                <c:pt idx="1">
                  <c:v>4346.3999999999996</c:v>
                </c:pt>
                <c:pt idx="2">
                  <c:v>7301.7</c:v>
                </c:pt>
                <c:pt idx="3">
                  <c:v>7515.7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A-46F2-8D3A-E30538706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5972512"/>
        <c:axId val="1255976352"/>
      </c:lineChart>
      <c:catAx>
        <c:axId val="1255972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Resolution</a:t>
                </a:r>
              </a:p>
            </c:rich>
          </c:tx>
          <c:layout>
            <c:manualLayout>
              <c:xMode val="edge"/>
              <c:yMode val="edge"/>
              <c:x val="0.43681163024095143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976352"/>
        <c:crosses val="autoZero"/>
        <c:auto val="1"/>
        <c:lblAlgn val="ctr"/>
        <c:lblOffset val="100"/>
        <c:noMultiLvlLbl val="0"/>
      </c:catAx>
      <c:valAx>
        <c:axId val="125597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97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Charts!$I$1</c:f>
              <c:strCache>
                <c:ptCount val="1"/>
                <c:pt idx="0">
                  <c:v>PostFX Speedup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Charts!$A$2:$A$5</c:f>
              <c:strCache>
                <c:ptCount val="4"/>
                <c:pt idx="0">
                  <c:v>640x480</c:v>
                </c:pt>
                <c:pt idx="1">
                  <c:v>1280x720</c:v>
                </c:pt>
                <c:pt idx="2">
                  <c:v>1920x1080</c:v>
                </c:pt>
                <c:pt idx="3">
                  <c:v>3840x2160</c:v>
                </c:pt>
              </c:strCache>
            </c:strRef>
          </c:cat>
          <c:val>
            <c:numRef>
              <c:f>Charts!$I$2:$I$5</c:f>
              <c:numCache>
                <c:formatCode>General</c:formatCode>
                <c:ptCount val="4"/>
                <c:pt idx="0">
                  <c:v>46</c:v>
                </c:pt>
                <c:pt idx="1">
                  <c:v>147.5</c:v>
                </c:pt>
                <c:pt idx="2">
                  <c:v>303.8</c:v>
                </c:pt>
                <c:pt idx="3">
                  <c:v>1272.7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87-49A0-AC57-92D17808D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5957152"/>
        <c:axId val="1255963872"/>
      </c:lineChart>
      <c:catAx>
        <c:axId val="1255957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Resolution</a:t>
                </a:r>
              </a:p>
            </c:rich>
          </c:tx>
          <c:layout>
            <c:manualLayout>
              <c:xMode val="edge"/>
              <c:yMode val="edge"/>
              <c:x val="0.45101268591426069"/>
              <c:y val="0.88432852143482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963872"/>
        <c:crosses val="autoZero"/>
        <c:auto val="1"/>
        <c:lblAlgn val="ctr"/>
        <c:lblOffset val="100"/>
        <c:noMultiLvlLbl val="0"/>
      </c:catAx>
      <c:valAx>
        <c:axId val="125596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95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280987</xdr:colOff>
      <xdr:row>7</xdr:row>
      <xdr:rowOff>57150</xdr:rowOff>
    </xdr:from>
    <xdr:to>
      <xdr:col>5</xdr:col>
      <xdr:colOff>890587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A78299-8A32-FDC0-3526-2FC2A8C58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333375</xdr:colOff>
      <xdr:row>24</xdr:row>
      <xdr:rowOff>23812</xdr:rowOff>
    </xdr:from>
    <xdr:to>
      <xdr:col>5</xdr:col>
      <xdr:colOff>942975</xdr:colOff>
      <xdr:row>38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040C45-F8CD-37A3-0514-9F6C9C2F8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336177</xdr:colOff>
      <xdr:row>39</xdr:row>
      <xdr:rowOff>180415</xdr:rowOff>
    </xdr:from>
    <xdr:to>
      <xdr:col>5</xdr:col>
      <xdr:colOff>941294</xdr:colOff>
      <xdr:row>54</xdr:row>
      <xdr:rowOff>66115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9E81C3-1105-6BA4-C7DF-6B7B90EC6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CE61-93D8-476F-8371-456F3B63DFB3}">
  <dimension ref="A1:AI81"/>
  <sheetViews>
    <sheetView topLeftCell="E43" zoomScale="85" zoomScaleNormal="85" workbookViewId="0">
      <selection activeCell="AH77" activeCellId="2" sqref="AC77 AE77:AF77 AH77:AI77"/>
    </sheetView>
  </sheetViews>
  <sheetFormatPr defaultRowHeight="15" x14ac:dyDescent="0.25"/>
  <cols>
    <col min="1" max="1" width="15.5703125" bestFit="1" customWidth="1"/>
    <col min="2" max="2" width="23.28515625" bestFit="1" customWidth="1"/>
    <col min="3" max="3" width="4" bestFit="1" customWidth="1"/>
    <col min="4" max="4" width="4.5703125" bestFit="1" customWidth="1"/>
    <col min="5" max="5" width="10.42578125" bestFit="1" customWidth="1"/>
    <col min="6" max="6" width="23.85546875" bestFit="1" customWidth="1"/>
    <col min="7" max="7" width="5.42578125" bestFit="1" customWidth="1"/>
    <col min="8" max="8" width="14.42578125" bestFit="1" customWidth="1"/>
    <col min="9" max="9" width="16.7109375" bestFit="1" customWidth="1"/>
    <col min="10" max="10" width="15.85546875" bestFit="1" customWidth="1"/>
    <col min="11" max="11" width="14.28515625" bestFit="1" customWidth="1"/>
    <col min="12" max="12" width="16.5703125" bestFit="1" customWidth="1"/>
    <col min="13" max="13" width="15.7109375" bestFit="1" customWidth="1"/>
    <col min="14" max="14" width="14.140625" bestFit="1" customWidth="1"/>
    <col min="15" max="15" width="5" bestFit="1" customWidth="1"/>
    <col min="16" max="16" width="11.5703125" bestFit="1" customWidth="1"/>
    <col min="17" max="17" width="11.42578125" bestFit="1" customWidth="1"/>
    <col min="18" max="18" width="13.5703125" bestFit="1" customWidth="1"/>
    <col min="19" max="19" width="17.42578125" bestFit="1" customWidth="1"/>
    <col min="20" max="20" width="10.42578125" bestFit="1" customWidth="1"/>
    <col min="21" max="21" width="10.28515625" bestFit="1" customWidth="1"/>
    <col min="22" max="22" width="11.5703125" bestFit="1" customWidth="1"/>
    <col min="23" max="23" width="11.42578125" bestFit="1" customWidth="1"/>
    <col min="24" max="24" width="5.140625" bestFit="1" customWidth="1"/>
    <col min="25" max="25" width="8" bestFit="1" customWidth="1"/>
    <col min="27" max="27" width="14" bestFit="1" customWidth="1"/>
    <col min="28" max="28" width="13.85546875" bestFit="1" customWidth="1"/>
    <col min="29" max="30" width="13.5703125" bestFit="1" customWidth="1"/>
    <col min="31" max="31" width="13.140625" bestFit="1" customWidth="1"/>
    <col min="32" max="33" width="13.42578125" bestFit="1" customWidth="1"/>
    <col min="34" max="34" width="15.140625" bestFit="1" customWidth="1"/>
    <col min="35" max="35" width="8.5703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45956.782638888886</v>
      </c>
      <c r="B2" t="s">
        <v>35</v>
      </c>
      <c r="C2">
        <v>8.9</v>
      </c>
      <c r="D2">
        <v>128</v>
      </c>
      <c r="E2" t="s">
        <v>36</v>
      </c>
      <c r="F2" t="s">
        <v>37</v>
      </c>
      <c r="G2" t="s">
        <v>38</v>
      </c>
      <c r="H2" t="s">
        <v>39</v>
      </c>
      <c r="I2">
        <v>0.159</v>
      </c>
      <c r="J2" t="s">
        <v>40</v>
      </c>
      <c r="K2">
        <v>0.159</v>
      </c>
      <c r="L2">
        <v>977.54200000000003</v>
      </c>
      <c r="M2" t="s">
        <v>40</v>
      </c>
      <c r="N2">
        <v>977.54200000000003</v>
      </c>
      <c r="O2">
        <v>0.31</v>
      </c>
      <c r="P2">
        <v>1935.48</v>
      </c>
      <c r="Q2">
        <v>0.31</v>
      </c>
      <c r="R2">
        <v>0</v>
      </c>
      <c r="S2" t="s">
        <v>40</v>
      </c>
      <c r="T2">
        <v>40</v>
      </c>
      <c r="U2">
        <v>20</v>
      </c>
      <c r="V2">
        <v>16</v>
      </c>
      <c r="W2">
        <v>24</v>
      </c>
      <c r="X2">
        <v>0</v>
      </c>
      <c r="Y2">
        <v>1</v>
      </c>
      <c r="Z2">
        <v>0</v>
      </c>
      <c r="AA2" t="s">
        <v>41</v>
      </c>
      <c r="AB2" t="s">
        <v>41</v>
      </c>
      <c r="AC2">
        <f>AVERAGE(I2:I6)</f>
        <v>0.16520000000000001</v>
      </c>
      <c r="AD2">
        <f>_xlfn.STDEV.S(I2:I6)</f>
        <v>3.701351104664353E-3</v>
      </c>
      <c r="AE2" t="str">
        <f>TEXT(AC2,"0.000") &amp; " ± " &amp; TEXT(AD2,"0.000")</f>
        <v>0.165 ± 0.004</v>
      </c>
      <c r="AF2">
        <f>AVERAGE(L2:L6)</f>
        <v>960.42319999999995</v>
      </c>
      <c r="AG2">
        <f>_xlfn.STDEV.S(L2:L6)</f>
        <v>15.188254596891641</v>
      </c>
      <c r="AH2" t="str">
        <f>TEXT(AF2,"0.0") &amp; " ± " &amp; TEXT(AG2,"0.0")</f>
        <v>960.4 ± 15.2</v>
      </c>
      <c r="AI2">
        <f>ROUND(AF2/AC2,1)</f>
        <v>5813.7</v>
      </c>
    </row>
    <row r="3" spans="1:35" x14ac:dyDescent="0.25">
      <c r="A3" s="1">
        <v>45956.782638888886</v>
      </c>
      <c r="B3" t="s">
        <v>35</v>
      </c>
      <c r="C3">
        <v>8.9</v>
      </c>
      <c r="D3">
        <v>128</v>
      </c>
      <c r="E3" t="s">
        <v>36</v>
      </c>
      <c r="F3" t="s">
        <v>37</v>
      </c>
      <c r="G3" t="s">
        <v>38</v>
      </c>
      <c r="H3" t="s">
        <v>39</v>
      </c>
      <c r="I3">
        <v>0.16500000000000001</v>
      </c>
      <c r="J3" t="s">
        <v>40</v>
      </c>
      <c r="K3">
        <v>0.16500000000000001</v>
      </c>
      <c r="L3">
        <v>976.50599999999997</v>
      </c>
      <c r="M3" t="s">
        <v>40</v>
      </c>
      <c r="N3">
        <v>976.50599999999997</v>
      </c>
      <c r="O3">
        <v>0.31</v>
      </c>
      <c r="P3">
        <v>1863.35</v>
      </c>
      <c r="Q3">
        <v>0.31</v>
      </c>
      <c r="R3">
        <v>0</v>
      </c>
      <c r="S3" t="s">
        <v>40</v>
      </c>
      <c r="T3">
        <v>40</v>
      </c>
      <c r="U3">
        <v>20</v>
      </c>
      <c r="V3">
        <v>16</v>
      </c>
      <c r="W3">
        <v>24</v>
      </c>
      <c r="X3">
        <v>0</v>
      </c>
      <c r="Y3">
        <v>1</v>
      </c>
      <c r="Z3">
        <v>0</v>
      </c>
      <c r="AA3" t="s">
        <v>41</v>
      </c>
      <c r="AB3" t="s">
        <v>41</v>
      </c>
    </row>
    <row r="4" spans="1:35" x14ac:dyDescent="0.25">
      <c r="A4" s="1">
        <v>45956.783333333333</v>
      </c>
      <c r="B4" t="s">
        <v>35</v>
      </c>
      <c r="C4">
        <v>8.9</v>
      </c>
      <c r="D4">
        <v>128</v>
      </c>
      <c r="E4" t="s">
        <v>36</v>
      </c>
      <c r="F4" t="s">
        <v>37</v>
      </c>
      <c r="G4" t="s">
        <v>38</v>
      </c>
      <c r="H4" t="s">
        <v>39</v>
      </c>
      <c r="I4">
        <v>0.16800000000000001</v>
      </c>
      <c r="J4" t="s">
        <v>40</v>
      </c>
      <c r="K4">
        <v>0.16800000000000001</v>
      </c>
      <c r="L4">
        <v>950.49199999999996</v>
      </c>
      <c r="M4" t="s">
        <v>40</v>
      </c>
      <c r="N4">
        <v>950.49199999999996</v>
      </c>
      <c r="O4">
        <v>0.31</v>
      </c>
      <c r="P4">
        <v>1832.41</v>
      </c>
      <c r="Q4">
        <v>0.32</v>
      </c>
      <c r="R4">
        <v>0</v>
      </c>
      <c r="S4" t="s">
        <v>40</v>
      </c>
      <c r="T4">
        <v>40</v>
      </c>
      <c r="U4">
        <v>20</v>
      </c>
      <c r="V4">
        <v>16</v>
      </c>
      <c r="W4">
        <v>24</v>
      </c>
      <c r="X4">
        <v>0</v>
      </c>
      <c r="Y4">
        <v>1</v>
      </c>
      <c r="Z4">
        <v>0</v>
      </c>
      <c r="AA4" t="s">
        <v>41</v>
      </c>
      <c r="AB4" t="s">
        <v>41</v>
      </c>
    </row>
    <row r="5" spans="1:35" x14ac:dyDescent="0.25">
      <c r="A5" s="1">
        <v>45956.783333333333</v>
      </c>
      <c r="B5" t="s">
        <v>35</v>
      </c>
      <c r="C5">
        <v>8.9</v>
      </c>
      <c r="D5">
        <v>128</v>
      </c>
      <c r="E5" t="s">
        <v>36</v>
      </c>
      <c r="F5" t="s">
        <v>37</v>
      </c>
      <c r="G5" t="s">
        <v>38</v>
      </c>
      <c r="H5" t="s">
        <v>39</v>
      </c>
      <c r="I5">
        <v>0.16600000000000001</v>
      </c>
      <c r="J5" t="s">
        <v>40</v>
      </c>
      <c r="K5">
        <v>0.16600000000000001</v>
      </c>
      <c r="L5">
        <v>947.88300000000004</v>
      </c>
      <c r="M5" t="s">
        <v>40</v>
      </c>
      <c r="N5">
        <v>947.88300000000004</v>
      </c>
      <c r="O5">
        <v>0.31</v>
      </c>
      <c r="P5">
        <v>1851.85</v>
      </c>
      <c r="Q5">
        <v>0.32</v>
      </c>
      <c r="R5">
        <v>0</v>
      </c>
      <c r="S5" t="s">
        <v>40</v>
      </c>
      <c r="T5">
        <v>40</v>
      </c>
      <c r="U5">
        <v>20</v>
      </c>
      <c r="V5">
        <v>16</v>
      </c>
      <c r="W5">
        <v>24</v>
      </c>
      <c r="X5">
        <v>0</v>
      </c>
      <c r="Y5">
        <v>1</v>
      </c>
      <c r="Z5">
        <v>0</v>
      </c>
      <c r="AA5" t="s">
        <v>41</v>
      </c>
      <c r="AB5" t="s">
        <v>41</v>
      </c>
    </row>
    <row r="6" spans="1:35" x14ac:dyDescent="0.25">
      <c r="A6" s="1">
        <v>45956.783333333333</v>
      </c>
      <c r="B6" t="s">
        <v>35</v>
      </c>
      <c r="C6">
        <v>8.9</v>
      </c>
      <c r="D6">
        <v>128</v>
      </c>
      <c r="E6" t="s">
        <v>36</v>
      </c>
      <c r="F6" t="s">
        <v>37</v>
      </c>
      <c r="G6" t="s">
        <v>38</v>
      </c>
      <c r="H6" t="s">
        <v>39</v>
      </c>
      <c r="I6">
        <v>0.16800000000000001</v>
      </c>
      <c r="J6" t="s">
        <v>40</v>
      </c>
      <c r="K6">
        <v>0.16800000000000001</v>
      </c>
      <c r="L6">
        <v>949.69299999999998</v>
      </c>
      <c r="M6" t="s">
        <v>40</v>
      </c>
      <c r="N6">
        <v>949.69299999999998</v>
      </c>
      <c r="O6">
        <v>0.31</v>
      </c>
      <c r="P6">
        <v>1829.62</v>
      </c>
      <c r="Q6">
        <v>0.32</v>
      </c>
      <c r="R6">
        <v>0</v>
      </c>
      <c r="S6" t="s">
        <v>40</v>
      </c>
      <c r="T6">
        <v>40</v>
      </c>
      <c r="U6">
        <v>20</v>
      </c>
      <c r="V6">
        <v>16</v>
      </c>
      <c r="W6">
        <v>24</v>
      </c>
      <c r="X6">
        <v>0</v>
      </c>
      <c r="Y6">
        <v>1</v>
      </c>
      <c r="Z6">
        <v>0</v>
      </c>
      <c r="AA6" t="s">
        <v>41</v>
      </c>
      <c r="AB6" t="s">
        <v>41</v>
      </c>
    </row>
    <row r="7" spans="1:35" x14ac:dyDescent="0.25">
      <c r="A7" s="1">
        <v>45956.800694444442</v>
      </c>
      <c r="B7" t="s">
        <v>35</v>
      </c>
      <c r="C7">
        <v>8.9</v>
      </c>
      <c r="D7">
        <v>128</v>
      </c>
      <c r="E7" t="s">
        <v>42</v>
      </c>
      <c r="F7" t="s">
        <v>37</v>
      </c>
      <c r="G7" t="s">
        <v>38</v>
      </c>
      <c r="H7" t="s">
        <v>39</v>
      </c>
      <c r="I7">
        <v>0.35599999999999998</v>
      </c>
      <c r="J7" t="s">
        <v>40</v>
      </c>
      <c r="K7">
        <v>0.35599999999999998</v>
      </c>
      <c r="L7">
        <v>2726.0940000000001</v>
      </c>
      <c r="M7" t="s">
        <v>40</v>
      </c>
      <c r="N7">
        <v>2726.0940000000001</v>
      </c>
      <c r="O7">
        <v>0.92</v>
      </c>
      <c r="P7">
        <v>2586.21</v>
      </c>
      <c r="Q7">
        <v>0.34</v>
      </c>
      <c r="R7">
        <v>0</v>
      </c>
      <c r="S7" t="s">
        <v>40</v>
      </c>
      <c r="T7">
        <v>80</v>
      </c>
      <c r="U7">
        <v>30</v>
      </c>
      <c r="V7">
        <v>16</v>
      </c>
      <c r="W7">
        <v>24</v>
      </c>
      <c r="X7">
        <v>0</v>
      </c>
      <c r="Y7">
        <v>1</v>
      </c>
      <c r="Z7">
        <v>0</v>
      </c>
      <c r="AA7" t="s">
        <v>41</v>
      </c>
      <c r="AB7" t="s">
        <v>41</v>
      </c>
      <c r="AC7">
        <f t="shared" ref="AC7" si="0">AVERAGE(I7:I11)</f>
        <v>0.35659999999999997</v>
      </c>
      <c r="AD7">
        <f t="shared" ref="AD7" si="1">_xlfn.STDEV.S(I7:I11)</f>
        <v>4.6151923036857343E-3</v>
      </c>
      <c r="AE7" t="str">
        <f t="shared" ref="AE7" si="2">TEXT(AC7,"0.000") &amp; " ± " &amp; TEXT(AD7,"0.000")</f>
        <v>0.357 ± 0.005</v>
      </c>
      <c r="AF7">
        <f t="shared" ref="AF7" si="3">AVERAGE(L7:L11)</f>
        <v>2726.6657999999998</v>
      </c>
      <c r="AG7">
        <f t="shared" ref="AG7" si="4">_xlfn.STDEV.S(L7:L11)</f>
        <v>20.489759617916416</v>
      </c>
      <c r="AH7" t="str">
        <f t="shared" ref="AH7" si="5">TEXT(AF7,"0.0") &amp; " ± " &amp; TEXT(AG7,"0.0")</f>
        <v>2726.7 ± 20.5</v>
      </c>
      <c r="AI7">
        <f>ROUND(AF7/AC7,1)</f>
        <v>7646.3</v>
      </c>
    </row>
    <row r="8" spans="1:35" x14ac:dyDescent="0.25">
      <c r="A8" s="1">
        <v>45956.801388888889</v>
      </c>
      <c r="B8" t="s">
        <v>35</v>
      </c>
      <c r="C8">
        <v>8.9</v>
      </c>
      <c r="D8">
        <v>128</v>
      </c>
      <c r="E8" t="s">
        <v>42</v>
      </c>
      <c r="F8" t="s">
        <v>37</v>
      </c>
      <c r="G8" t="s">
        <v>38</v>
      </c>
      <c r="H8" t="s">
        <v>39</v>
      </c>
      <c r="I8">
        <v>0.35899999999999999</v>
      </c>
      <c r="J8" t="s">
        <v>40</v>
      </c>
      <c r="K8">
        <v>0.35899999999999999</v>
      </c>
      <c r="L8">
        <v>2710.8359999999998</v>
      </c>
      <c r="M8" t="s">
        <v>40</v>
      </c>
      <c r="N8">
        <v>2710.8359999999998</v>
      </c>
      <c r="O8">
        <v>0.92</v>
      </c>
      <c r="P8">
        <v>2564.1</v>
      </c>
      <c r="Q8">
        <v>0.34</v>
      </c>
      <c r="R8">
        <v>0</v>
      </c>
      <c r="S8" t="s">
        <v>40</v>
      </c>
      <c r="T8">
        <v>80</v>
      </c>
      <c r="U8">
        <v>30</v>
      </c>
      <c r="V8">
        <v>16</v>
      </c>
      <c r="W8">
        <v>24</v>
      </c>
      <c r="X8">
        <v>0</v>
      </c>
      <c r="Y8">
        <v>1</v>
      </c>
      <c r="Z8">
        <v>0</v>
      </c>
      <c r="AA8" t="s">
        <v>41</v>
      </c>
      <c r="AB8" t="s">
        <v>41</v>
      </c>
    </row>
    <row r="9" spans="1:35" x14ac:dyDescent="0.25">
      <c r="A9" s="1">
        <v>45956.801388888889</v>
      </c>
      <c r="B9" t="s">
        <v>35</v>
      </c>
      <c r="C9">
        <v>8.9</v>
      </c>
      <c r="D9">
        <v>128</v>
      </c>
      <c r="E9" t="s">
        <v>42</v>
      </c>
      <c r="F9" t="s">
        <v>37</v>
      </c>
      <c r="G9" t="s">
        <v>38</v>
      </c>
      <c r="H9" t="s">
        <v>39</v>
      </c>
      <c r="I9">
        <v>0.36099999999999999</v>
      </c>
      <c r="J9" t="s">
        <v>40</v>
      </c>
      <c r="K9">
        <v>0.36099999999999999</v>
      </c>
      <c r="L9">
        <v>2760.5839999999998</v>
      </c>
      <c r="M9" t="s">
        <v>40</v>
      </c>
      <c r="N9">
        <v>2760.5839999999998</v>
      </c>
      <c r="O9">
        <v>0.92</v>
      </c>
      <c r="P9">
        <v>2549.5700000000002</v>
      </c>
      <c r="Q9">
        <v>0.33</v>
      </c>
      <c r="R9">
        <v>0</v>
      </c>
      <c r="S9" t="s">
        <v>40</v>
      </c>
      <c r="T9">
        <v>80</v>
      </c>
      <c r="U9">
        <v>30</v>
      </c>
      <c r="V9">
        <v>16</v>
      </c>
      <c r="W9">
        <v>24</v>
      </c>
      <c r="X9">
        <v>0</v>
      </c>
      <c r="Y9">
        <v>1</v>
      </c>
      <c r="Z9">
        <v>0</v>
      </c>
      <c r="AA9" t="s">
        <v>41</v>
      </c>
      <c r="AB9" t="s">
        <v>41</v>
      </c>
    </row>
    <row r="10" spans="1:35" x14ac:dyDescent="0.25">
      <c r="A10" s="1">
        <v>45956.801388888889</v>
      </c>
      <c r="B10" t="s">
        <v>35</v>
      </c>
      <c r="C10">
        <v>8.9</v>
      </c>
      <c r="D10">
        <v>128</v>
      </c>
      <c r="E10" t="s">
        <v>42</v>
      </c>
      <c r="F10" t="s">
        <v>37</v>
      </c>
      <c r="G10" t="s">
        <v>38</v>
      </c>
      <c r="H10" t="s">
        <v>39</v>
      </c>
      <c r="I10">
        <v>0.34899999999999998</v>
      </c>
      <c r="J10" t="s">
        <v>40</v>
      </c>
      <c r="K10">
        <v>0.34899999999999998</v>
      </c>
      <c r="L10">
        <v>2725.799</v>
      </c>
      <c r="M10" t="s">
        <v>40</v>
      </c>
      <c r="N10">
        <v>2725.799</v>
      </c>
      <c r="O10">
        <v>0.92</v>
      </c>
      <c r="P10">
        <v>2639.3</v>
      </c>
      <c r="Q10">
        <v>0.34</v>
      </c>
      <c r="R10">
        <v>0</v>
      </c>
      <c r="S10" t="s">
        <v>40</v>
      </c>
      <c r="T10">
        <v>80</v>
      </c>
      <c r="U10">
        <v>30</v>
      </c>
      <c r="V10">
        <v>16</v>
      </c>
      <c r="W10">
        <v>24</v>
      </c>
      <c r="X10">
        <v>0</v>
      </c>
      <c r="Y10">
        <v>1</v>
      </c>
      <c r="Z10">
        <v>0</v>
      </c>
      <c r="AA10" t="s">
        <v>41</v>
      </c>
      <c r="AB10" t="s">
        <v>41</v>
      </c>
    </row>
    <row r="11" spans="1:35" x14ac:dyDescent="0.25">
      <c r="A11" s="1">
        <v>45956.801388888889</v>
      </c>
      <c r="B11" t="s">
        <v>35</v>
      </c>
      <c r="C11">
        <v>8.9</v>
      </c>
      <c r="D11">
        <v>128</v>
      </c>
      <c r="E11" t="s">
        <v>42</v>
      </c>
      <c r="F11" t="s">
        <v>37</v>
      </c>
      <c r="G11" t="s">
        <v>38</v>
      </c>
      <c r="H11" t="s">
        <v>39</v>
      </c>
      <c r="I11">
        <v>0.35799999999999998</v>
      </c>
      <c r="J11" t="s">
        <v>40</v>
      </c>
      <c r="K11">
        <v>0.35799999999999998</v>
      </c>
      <c r="L11">
        <v>2710.0160000000001</v>
      </c>
      <c r="M11" t="s">
        <v>40</v>
      </c>
      <c r="N11">
        <v>2710.0160000000001</v>
      </c>
      <c r="O11">
        <v>0.92</v>
      </c>
      <c r="P11">
        <v>2572.58</v>
      </c>
      <c r="Q11">
        <v>0.34</v>
      </c>
      <c r="R11">
        <v>0</v>
      </c>
      <c r="S11" t="s">
        <v>40</v>
      </c>
      <c r="T11">
        <v>80</v>
      </c>
      <c r="U11">
        <v>30</v>
      </c>
      <c r="V11">
        <v>16</v>
      </c>
      <c r="W11">
        <v>24</v>
      </c>
      <c r="X11">
        <v>0</v>
      </c>
      <c r="Y11">
        <v>1</v>
      </c>
      <c r="Z11">
        <v>0</v>
      </c>
      <c r="AA11" t="s">
        <v>41</v>
      </c>
      <c r="AB11" t="s">
        <v>41</v>
      </c>
    </row>
    <row r="12" spans="1:35" x14ac:dyDescent="0.25">
      <c r="A12" s="1">
        <v>45956.802083333336</v>
      </c>
      <c r="B12" t="s">
        <v>35</v>
      </c>
      <c r="C12">
        <v>8.9</v>
      </c>
      <c r="D12">
        <v>128</v>
      </c>
      <c r="E12" t="s">
        <v>43</v>
      </c>
      <c r="F12" t="s">
        <v>37</v>
      </c>
      <c r="G12" t="s">
        <v>38</v>
      </c>
      <c r="H12" t="s">
        <v>39</v>
      </c>
      <c r="I12">
        <v>0.73799999999999999</v>
      </c>
      <c r="J12" t="s">
        <v>40</v>
      </c>
      <c r="K12">
        <v>0.73799999999999999</v>
      </c>
      <c r="L12">
        <v>5942.4319999999998</v>
      </c>
      <c r="M12" t="s">
        <v>40</v>
      </c>
      <c r="N12">
        <v>5942.4319999999998</v>
      </c>
      <c r="O12">
        <v>2.0699999999999998</v>
      </c>
      <c r="P12">
        <v>2809.57</v>
      </c>
      <c r="Q12">
        <v>0.35</v>
      </c>
      <c r="R12">
        <v>0</v>
      </c>
      <c r="S12" t="s">
        <v>40</v>
      </c>
      <c r="T12">
        <v>120</v>
      </c>
      <c r="U12">
        <v>45</v>
      </c>
      <c r="V12">
        <v>16</v>
      </c>
      <c r="W12">
        <v>24</v>
      </c>
      <c r="X12">
        <v>0</v>
      </c>
      <c r="Y12">
        <v>1</v>
      </c>
      <c r="Z12">
        <v>0</v>
      </c>
      <c r="AA12" t="s">
        <v>41</v>
      </c>
      <c r="AB12" t="s">
        <v>41</v>
      </c>
      <c r="AC12">
        <f t="shared" ref="AC12" si="6">AVERAGE(I12:I16)</f>
        <v>0.73980000000000001</v>
      </c>
      <c r="AD12">
        <f t="shared" ref="AD12" si="7">_xlfn.STDEV.S(I12:I16)</f>
        <v>6.833739825307961E-3</v>
      </c>
      <c r="AE12" t="str">
        <f t="shared" ref="AE12" si="8">TEXT(AC12,"0.000") &amp; " ± " &amp; TEXT(AD12,"0.000")</f>
        <v>0.740 ± 0.007</v>
      </c>
      <c r="AF12">
        <f t="shared" ref="AF12" si="9">AVERAGE(L12:L16)</f>
        <v>6055.6679999999997</v>
      </c>
      <c r="AG12">
        <f t="shared" ref="AG12" si="10">_xlfn.STDEV.S(L12:L16)</f>
        <v>92.464920556392769</v>
      </c>
      <c r="AH12" t="str">
        <f t="shared" ref="AH12" si="11">TEXT(AF12,"0.0") &amp; " ± " &amp; TEXT(AG12,"0.0")</f>
        <v>6055.7 ± 92.5</v>
      </c>
      <c r="AI12">
        <f t="shared" ref="AI12" si="12">ROUND(AF12/AC12,1)</f>
        <v>8185.5</v>
      </c>
    </row>
    <row r="13" spans="1:35" x14ac:dyDescent="0.25">
      <c r="A13" s="1">
        <v>45956.802083333336</v>
      </c>
      <c r="B13" t="s">
        <v>35</v>
      </c>
      <c r="C13">
        <v>8.9</v>
      </c>
      <c r="D13">
        <v>128</v>
      </c>
      <c r="E13" t="s">
        <v>43</v>
      </c>
      <c r="F13" t="s">
        <v>37</v>
      </c>
      <c r="G13" t="s">
        <v>38</v>
      </c>
      <c r="H13" t="s">
        <v>39</v>
      </c>
      <c r="I13">
        <v>0.74099999999999999</v>
      </c>
      <c r="J13" t="s">
        <v>40</v>
      </c>
      <c r="K13">
        <v>0.74099999999999999</v>
      </c>
      <c r="L13">
        <v>6122.0330000000004</v>
      </c>
      <c r="M13" t="s">
        <v>40</v>
      </c>
      <c r="N13">
        <v>6122.0330000000004</v>
      </c>
      <c r="O13">
        <v>2.0699999999999998</v>
      </c>
      <c r="P13">
        <v>2796.96</v>
      </c>
      <c r="Q13">
        <v>0.34</v>
      </c>
      <c r="R13">
        <v>0</v>
      </c>
      <c r="S13" t="s">
        <v>40</v>
      </c>
      <c r="T13">
        <v>120</v>
      </c>
      <c r="U13">
        <v>45</v>
      </c>
      <c r="V13">
        <v>16</v>
      </c>
      <c r="W13">
        <v>24</v>
      </c>
      <c r="X13">
        <v>0</v>
      </c>
      <c r="Y13">
        <v>1</v>
      </c>
      <c r="Z13">
        <v>0</v>
      </c>
      <c r="AA13" t="s">
        <v>41</v>
      </c>
      <c r="AB13" t="s">
        <v>41</v>
      </c>
    </row>
    <row r="14" spans="1:35" x14ac:dyDescent="0.25">
      <c r="A14" s="1">
        <v>45956.802083333336</v>
      </c>
      <c r="B14" t="s">
        <v>35</v>
      </c>
      <c r="C14">
        <v>8.9</v>
      </c>
      <c r="D14">
        <v>128</v>
      </c>
      <c r="E14" t="s">
        <v>43</v>
      </c>
      <c r="F14" t="s">
        <v>37</v>
      </c>
      <c r="G14" t="s">
        <v>38</v>
      </c>
      <c r="H14" t="s">
        <v>39</v>
      </c>
      <c r="I14">
        <v>0.73899999999999999</v>
      </c>
      <c r="J14" t="s">
        <v>40</v>
      </c>
      <c r="K14">
        <v>0.73899999999999999</v>
      </c>
      <c r="L14">
        <v>6136.8559999999998</v>
      </c>
      <c r="M14" t="s">
        <v>40</v>
      </c>
      <c r="N14">
        <v>6136.8559999999998</v>
      </c>
      <c r="O14">
        <v>2.0699999999999998</v>
      </c>
      <c r="P14">
        <v>2804.83</v>
      </c>
      <c r="Q14">
        <v>0.34</v>
      </c>
      <c r="R14">
        <v>0</v>
      </c>
      <c r="S14" t="s">
        <v>40</v>
      </c>
      <c r="T14">
        <v>120</v>
      </c>
      <c r="U14">
        <v>45</v>
      </c>
      <c r="V14">
        <v>16</v>
      </c>
      <c r="W14">
        <v>24</v>
      </c>
      <c r="X14">
        <v>0</v>
      </c>
      <c r="Y14">
        <v>1</v>
      </c>
      <c r="Z14">
        <v>0</v>
      </c>
      <c r="AA14" t="s">
        <v>41</v>
      </c>
      <c r="AB14" t="s">
        <v>41</v>
      </c>
    </row>
    <row r="15" spans="1:35" x14ac:dyDescent="0.25">
      <c r="A15" s="1">
        <v>45956.802777777775</v>
      </c>
      <c r="B15" t="s">
        <v>35</v>
      </c>
      <c r="C15">
        <v>8.9</v>
      </c>
      <c r="D15">
        <v>128</v>
      </c>
      <c r="E15" t="s">
        <v>43</v>
      </c>
      <c r="F15" t="s">
        <v>37</v>
      </c>
      <c r="G15" t="s">
        <v>38</v>
      </c>
      <c r="H15" t="s">
        <v>39</v>
      </c>
      <c r="I15">
        <v>0.75</v>
      </c>
      <c r="J15" t="s">
        <v>40</v>
      </c>
      <c r="K15">
        <v>0.75</v>
      </c>
      <c r="L15">
        <v>6108.4809999999998</v>
      </c>
      <c r="M15" t="s">
        <v>40</v>
      </c>
      <c r="N15">
        <v>6108.4809999999998</v>
      </c>
      <c r="O15">
        <v>2.0699999999999998</v>
      </c>
      <c r="P15">
        <v>2766.39</v>
      </c>
      <c r="Q15">
        <v>0.34</v>
      </c>
      <c r="R15">
        <v>0</v>
      </c>
      <c r="S15" t="s">
        <v>40</v>
      </c>
      <c r="T15">
        <v>120</v>
      </c>
      <c r="U15">
        <v>45</v>
      </c>
      <c r="V15">
        <v>16</v>
      </c>
      <c r="W15">
        <v>24</v>
      </c>
      <c r="X15">
        <v>0</v>
      </c>
      <c r="Y15">
        <v>1</v>
      </c>
      <c r="Z15">
        <v>0</v>
      </c>
      <c r="AA15" t="s">
        <v>41</v>
      </c>
      <c r="AB15" t="s">
        <v>41</v>
      </c>
    </row>
    <row r="16" spans="1:35" x14ac:dyDescent="0.25">
      <c r="A16" s="1">
        <v>45956.802777777775</v>
      </c>
      <c r="B16" t="s">
        <v>35</v>
      </c>
      <c r="C16">
        <v>8.9</v>
      </c>
      <c r="D16">
        <v>128</v>
      </c>
      <c r="E16" t="s">
        <v>43</v>
      </c>
      <c r="F16" t="s">
        <v>37</v>
      </c>
      <c r="G16" t="s">
        <v>38</v>
      </c>
      <c r="H16" t="s">
        <v>39</v>
      </c>
      <c r="I16">
        <v>0.73099999999999998</v>
      </c>
      <c r="J16" t="s">
        <v>40</v>
      </c>
      <c r="K16">
        <v>0.73099999999999998</v>
      </c>
      <c r="L16">
        <v>5968.5379999999996</v>
      </c>
      <c r="M16" t="s">
        <v>40</v>
      </c>
      <c r="N16">
        <v>5968.5379999999996</v>
      </c>
      <c r="O16">
        <v>2.0699999999999998</v>
      </c>
      <c r="P16">
        <v>2836.13</v>
      </c>
      <c r="Q16">
        <v>0.35</v>
      </c>
      <c r="R16">
        <v>0</v>
      </c>
      <c r="S16" t="s">
        <v>40</v>
      </c>
      <c r="T16">
        <v>120</v>
      </c>
      <c r="U16">
        <v>45</v>
      </c>
      <c r="V16">
        <v>16</v>
      </c>
      <c r="W16">
        <v>24</v>
      </c>
      <c r="X16">
        <v>0</v>
      </c>
      <c r="Y16">
        <v>1</v>
      </c>
      <c r="Z16">
        <v>0</v>
      </c>
      <c r="AA16" t="s">
        <v>41</v>
      </c>
      <c r="AB16" t="s">
        <v>41</v>
      </c>
    </row>
    <row r="17" spans="1:35" x14ac:dyDescent="0.25">
      <c r="A17" s="1">
        <v>45956.845833333333</v>
      </c>
      <c r="B17" t="s">
        <v>35</v>
      </c>
      <c r="C17">
        <v>8.9</v>
      </c>
      <c r="D17">
        <v>128</v>
      </c>
      <c r="E17" t="s">
        <v>44</v>
      </c>
      <c r="F17" t="s">
        <v>37</v>
      </c>
      <c r="G17" t="s">
        <v>38</v>
      </c>
      <c r="H17" t="s">
        <v>39</v>
      </c>
      <c r="I17">
        <v>2.794</v>
      </c>
      <c r="J17" t="s">
        <v>40</v>
      </c>
      <c r="K17">
        <v>2.794</v>
      </c>
      <c r="L17">
        <v>24629.704000000002</v>
      </c>
      <c r="M17" t="s">
        <v>40</v>
      </c>
      <c r="N17">
        <v>24629.704000000002</v>
      </c>
      <c r="O17">
        <v>8.2899999999999991</v>
      </c>
      <c r="P17">
        <v>2968.12</v>
      </c>
      <c r="Q17">
        <v>0.34</v>
      </c>
      <c r="R17">
        <v>0</v>
      </c>
      <c r="S17" t="s">
        <v>40</v>
      </c>
      <c r="T17">
        <v>240</v>
      </c>
      <c r="U17">
        <v>90</v>
      </c>
      <c r="V17">
        <v>16</v>
      </c>
      <c r="W17">
        <v>24</v>
      </c>
      <c r="X17">
        <v>0</v>
      </c>
      <c r="Y17">
        <v>1</v>
      </c>
      <c r="Z17">
        <v>0</v>
      </c>
      <c r="AA17" t="s">
        <v>41</v>
      </c>
      <c r="AB17" t="s">
        <v>41</v>
      </c>
      <c r="AC17">
        <f t="shared" ref="AC17" si="13">AVERAGE(I17:I21)</f>
        <v>2.8757999999999999</v>
      </c>
      <c r="AD17">
        <f t="shared" ref="AD17" si="14">_xlfn.STDEV.S(I17:I21)</f>
        <v>0.19245830717326817</v>
      </c>
      <c r="AE17" t="str">
        <f t="shared" ref="AE17" si="15">TEXT(AC17,"0.000") &amp; " ± " &amp; TEXT(AD17,"0.000")</f>
        <v>2.876 ± 0.192</v>
      </c>
      <c r="AF17">
        <f t="shared" ref="AF17" si="16">AVERAGE(L17:L21)</f>
        <v>24647.852200000001</v>
      </c>
      <c r="AG17">
        <f t="shared" ref="AG17" si="17">_xlfn.STDEV.S(L17:L21)</f>
        <v>165.9091248581588</v>
      </c>
      <c r="AH17" t="str">
        <f t="shared" ref="AH17" si="18">TEXT(AF17,"0.0") &amp; " ± " &amp; TEXT(AG17,"0.0")</f>
        <v>24647.9 ± 165.9</v>
      </c>
      <c r="AI17">
        <f t="shared" ref="AI17" si="19">ROUND(AF17/AC17,1)</f>
        <v>8570.7999999999993</v>
      </c>
    </row>
    <row r="18" spans="1:35" x14ac:dyDescent="0.25">
      <c r="A18" s="1">
        <v>45956.845833333333</v>
      </c>
      <c r="B18" t="s">
        <v>35</v>
      </c>
      <c r="C18">
        <v>8.9</v>
      </c>
      <c r="D18">
        <v>128</v>
      </c>
      <c r="E18" t="s">
        <v>44</v>
      </c>
      <c r="F18" t="s">
        <v>37</v>
      </c>
      <c r="G18" t="s">
        <v>38</v>
      </c>
      <c r="H18" t="s">
        <v>39</v>
      </c>
      <c r="I18">
        <v>2.79</v>
      </c>
      <c r="J18" t="s">
        <v>40</v>
      </c>
      <c r="K18">
        <v>2.79</v>
      </c>
      <c r="L18">
        <v>24581.878000000001</v>
      </c>
      <c r="M18" t="s">
        <v>40</v>
      </c>
      <c r="N18">
        <v>24581.878000000001</v>
      </c>
      <c r="O18">
        <v>8.2899999999999991</v>
      </c>
      <c r="P18">
        <v>2972.48</v>
      </c>
      <c r="Q18">
        <v>0.34</v>
      </c>
      <c r="R18">
        <v>0</v>
      </c>
      <c r="S18" t="s">
        <v>40</v>
      </c>
      <c r="T18">
        <v>240</v>
      </c>
      <c r="U18">
        <v>90</v>
      </c>
      <c r="V18">
        <v>16</v>
      </c>
      <c r="W18">
        <v>24</v>
      </c>
      <c r="X18">
        <v>0</v>
      </c>
      <c r="Y18">
        <v>1</v>
      </c>
      <c r="Z18">
        <v>0</v>
      </c>
      <c r="AA18" t="s">
        <v>41</v>
      </c>
      <c r="AB18" t="s">
        <v>41</v>
      </c>
    </row>
    <row r="19" spans="1:35" x14ac:dyDescent="0.25">
      <c r="A19" s="1">
        <v>45956.84652777778</v>
      </c>
      <c r="B19" t="s">
        <v>35</v>
      </c>
      <c r="C19">
        <v>8.9</v>
      </c>
      <c r="D19">
        <v>128</v>
      </c>
      <c r="E19" t="s">
        <v>44</v>
      </c>
      <c r="F19" t="s">
        <v>37</v>
      </c>
      <c r="G19" t="s">
        <v>38</v>
      </c>
      <c r="H19" t="s">
        <v>39</v>
      </c>
      <c r="I19">
        <v>2.7919999999999998</v>
      </c>
      <c r="J19" t="s">
        <v>40</v>
      </c>
      <c r="K19">
        <v>2.7919999999999998</v>
      </c>
      <c r="L19">
        <v>24450.159</v>
      </c>
      <c r="M19" t="s">
        <v>40</v>
      </c>
      <c r="N19">
        <v>24450.159</v>
      </c>
      <c r="O19">
        <v>8.2899999999999991</v>
      </c>
      <c r="P19">
        <v>2970.33</v>
      </c>
      <c r="Q19">
        <v>0.34</v>
      </c>
      <c r="R19">
        <v>0</v>
      </c>
      <c r="S19" t="s">
        <v>40</v>
      </c>
      <c r="T19">
        <v>240</v>
      </c>
      <c r="U19">
        <v>90</v>
      </c>
      <c r="V19">
        <v>16</v>
      </c>
      <c r="W19">
        <v>24</v>
      </c>
      <c r="X19">
        <v>0</v>
      </c>
      <c r="Y19">
        <v>1</v>
      </c>
      <c r="Z19">
        <v>0</v>
      </c>
      <c r="AA19" t="s">
        <v>41</v>
      </c>
      <c r="AB19" t="s">
        <v>41</v>
      </c>
    </row>
    <row r="20" spans="1:35" x14ac:dyDescent="0.25">
      <c r="A20" s="1">
        <v>45956.847222222219</v>
      </c>
      <c r="B20" t="s">
        <v>35</v>
      </c>
      <c r="C20">
        <v>8.9</v>
      </c>
      <c r="D20">
        <v>128</v>
      </c>
      <c r="E20" t="s">
        <v>44</v>
      </c>
      <c r="F20" t="s">
        <v>37</v>
      </c>
      <c r="G20" t="s">
        <v>38</v>
      </c>
      <c r="H20" t="s">
        <v>39</v>
      </c>
      <c r="I20">
        <v>2.7829999999999999</v>
      </c>
      <c r="J20" t="s">
        <v>40</v>
      </c>
      <c r="K20">
        <v>2.7829999999999999</v>
      </c>
      <c r="L20">
        <v>24673.371999999999</v>
      </c>
      <c r="M20" t="s">
        <v>40</v>
      </c>
      <c r="N20">
        <v>24673.371999999999</v>
      </c>
      <c r="O20">
        <v>8.2899999999999991</v>
      </c>
      <c r="P20">
        <v>2980.13</v>
      </c>
      <c r="Q20">
        <v>0.34</v>
      </c>
      <c r="R20">
        <v>0</v>
      </c>
      <c r="S20" t="s">
        <v>40</v>
      </c>
      <c r="T20">
        <v>240</v>
      </c>
      <c r="U20">
        <v>90</v>
      </c>
      <c r="V20">
        <v>16</v>
      </c>
      <c r="W20">
        <v>24</v>
      </c>
      <c r="X20">
        <v>0</v>
      </c>
      <c r="Y20">
        <v>1</v>
      </c>
      <c r="Z20">
        <v>0</v>
      </c>
      <c r="AA20" t="s">
        <v>41</v>
      </c>
      <c r="AB20" t="s">
        <v>41</v>
      </c>
    </row>
    <row r="21" spans="1:35" x14ac:dyDescent="0.25">
      <c r="A21" s="1">
        <v>45956.847916666666</v>
      </c>
      <c r="B21" t="s">
        <v>35</v>
      </c>
      <c r="C21">
        <v>8.9</v>
      </c>
      <c r="D21">
        <v>128</v>
      </c>
      <c r="E21" t="s">
        <v>44</v>
      </c>
      <c r="F21" t="s">
        <v>37</v>
      </c>
      <c r="G21" t="s">
        <v>38</v>
      </c>
      <c r="H21" t="s">
        <v>39</v>
      </c>
      <c r="I21">
        <v>3.22</v>
      </c>
      <c r="J21" t="s">
        <v>40</v>
      </c>
      <c r="K21">
        <v>3.22</v>
      </c>
      <c r="L21">
        <v>24904.148000000001</v>
      </c>
      <c r="M21" t="s">
        <v>40</v>
      </c>
      <c r="N21">
        <v>24904.148000000001</v>
      </c>
      <c r="O21">
        <v>8.2899999999999991</v>
      </c>
      <c r="P21">
        <v>2575.52</v>
      </c>
      <c r="Q21">
        <v>0.33</v>
      </c>
      <c r="R21">
        <v>0</v>
      </c>
      <c r="S21" t="s">
        <v>40</v>
      </c>
      <c r="T21">
        <v>240</v>
      </c>
      <c r="U21">
        <v>90</v>
      </c>
      <c r="V21">
        <v>16</v>
      </c>
      <c r="W21">
        <v>24</v>
      </c>
      <c r="X21">
        <v>0</v>
      </c>
      <c r="Y21">
        <v>1</v>
      </c>
      <c r="Z21">
        <v>0</v>
      </c>
      <c r="AA21" t="s">
        <v>41</v>
      </c>
      <c r="AB21" t="s">
        <v>41</v>
      </c>
    </row>
    <row r="22" spans="1:35" x14ac:dyDescent="0.25">
      <c r="A22" s="1">
        <v>45957.73541666667</v>
      </c>
      <c r="B22" t="s">
        <v>35</v>
      </c>
      <c r="C22">
        <v>8.9</v>
      </c>
      <c r="D22">
        <v>128</v>
      </c>
      <c r="E22" t="s">
        <v>36</v>
      </c>
      <c r="F22" t="s">
        <v>45</v>
      </c>
      <c r="G22" t="s">
        <v>38</v>
      </c>
      <c r="H22" t="s">
        <v>39</v>
      </c>
      <c r="I22">
        <v>0.36799999999999999</v>
      </c>
      <c r="J22" t="s">
        <v>40</v>
      </c>
      <c r="K22">
        <v>0.36799999999999999</v>
      </c>
      <c r="L22">
        <v>1306.9079999999999</v>
      </c>
      <c r="M22" t="s">
        <v>40</v>
      </c>
      <c r="N22">
        <v>1306.9079999999999</v>
      </c>
      <c r="O22">
        <v>0.31</v>
      </c>
      <c r="P22">
        <v>835.65</v>
      </c>
      <c r="Q22">
        <v>0.24</v>
      </c>
      <c r="R22">
        <v>0</v>
      </c>
      <c r="S22" t="s">
        <v>40</v>
      </c>
      <c r="T22">
        <v>40</v>
      </c>
      <c r="U22">
        <v>20</v>
      </c>
      <c r="V22">
        <v>16</v>
      </c>
      <c r="W22">
        <v>24</v>
      </c>
      <c r="X22">
        <v>0</v>
      </c>
      <c r="Y22">
        <v>1</v>
      </c>
      <c r="Z22">
        <v>0</v>
      </c>
      <c r="AA22" t="s">
        <v>41</v>
      </c>
      <c r="AB22" t="s">
        <v>41</v>
      </c>
      <c r="AC22">
        <f t="shared" ref="AC22" si="20">AVERAGE(I22:I26)</f>
        <v>0.37320000000000003</v>
      </c>
      <c r="AD22">
        <f t="shared" ref="AD22" si="21">_xlfn.STDEV.S(I22:I26)</f>
        <v>5.5407580708780324E-3</v>
      </c>
      <c r="AE22" t="str">
        <f t="shared" ref="AE22" si="22">TEXT(AC22,"0.000") &amp; " ± " &amp; TEXT(AD22,"0.000")</f>
        <v>0.373 ± 0.006</v>
      </c>
      <c r="AF22">
        <f t="shared" ref="AF22" si="23">AVERAGE(L22:L26)</f>
        <v>1288.8126</v>
      </c>
      <c r="AG22">
        <f t="shared" ref="AG22" si="24">_xlfn.STDEV.S(L22:L26)</f>
        <v>17.861190590215426</v>
      </c>
      <c r="AH22" t="str">
        <f t="shared" ref="AH22" si="25">TEXT(AF22,"0.0") &amp; " ± " &amp; TEXT(AG22,"0.0")</f>
        <v>1288.8 ± 17.9</v>
      </c>
      <c r="AI22">
        <f t="shared" ref="AI22" si="26">ROUND(AF22/AC22,1)</f>
        <v>3453.4</v>
      </c>
    </row>
    <row r="23" spans="1:35" x14ac:dyDescent="0.25">
      <c r="A23" s="1">
        <v>45957.736805555556</v>
      </c>
      <c r="B23" t="s">
        <v>35</v>
      </c>
      <c r="C23">
        <v>8.9</v>
      </c>
      <c r="D23">
        <v>128</v>
      </c>
      <c r="E23" t="s">
        <v>36</v>
      </c>
      <c r="F23" t="s">
        <v>45</v>
      </c>
      <c r="G23" t="s">
        <v>38</v>
      </c>
      <c r="H23" t="s">
        <v>39</v>
      </c>
      <c r="I23">
        <v>0.374</v>
      </c>
      <c r="J23" t="s">
        <v>40</v>
      </c>
      <c r="K23">
        <v>0.374</v>
      </c>
      <c r="L23">
        <v>1267.47</v>
      </c>
      <c r="M23" t="s">
        <v>40</v>
      </c>
      <c r="N23">
        <v>1267.47</v>
      </c>
      <c r="O23">
        <v>0.31</v>
      </c>
      <c r="P23">
        <v>821.92</v>
      </c>
      <c r="Q23">
        <v>0.24</v>
      </c>
      <c r="R23">
        <v>0</v>
      </c>
      <c r="S23" t="s">
        <v>40</v>
      </c>
      <c r="T23">
        <v>40</v>
      </c>
      <c r="U23">
        <v>20</v>
      </c>
      <c r="V23">
        <v>16</v>
      </c>
      <c r="W23">
        <v>24</v>
      </c>
      <c r="X23">
        <v>0</v>
      </c>
      <c r="Y23">
        <v>1</v>
      </c>
      <c r="Z23">
        <v>0</v>
      </c>
      <c r="AA23" t="s">
        <v>41</v>
      </c>
      <c r="AB23" t="s">
        <v>41</v>
      </c>
    </row>
    <row r="24" spans="1:35" x14ac:dyDescent="0.25">
      <c r="A24" s="1">
        <v>45957.736805555556</v>
      </c>
      <c r="B24" t="s">
        <v>35</v>
      </c>
      <c r="C24">
        <v>8.9</v>
      </c>
      <c r="D24">
        <v>128</v>
      </c>
      <c r="E24" t="s">
        <v>36</v>
      </c>
      <c r="F24" t="s">
        <v>45</v>
      </c>
      <c r="G24" t="s">
        <v>38</v>
      </c>
      <c r="H24" t="s">
        <v>39</v>
      </c>
      <c r="I24">
        <v>0.379</v>
      </c>
      <c r="J24" t="s">
        <v>40</v>
      </c>
      <c r="K24">
        <v>0.379</v>
      </c>
      <c r="L24">
        <v>1271.8409999999999</v>
      </c>
      <c r="M24" t="s">
        <v>40</v>
      </c>
      <c r="N24">
        <v>1271.8409999999999</v>
      </c>
      <c r="O24">
        <v>0.31</v>
      </c>
      <c r="P24">
        <v>810.81</v>
      </c>
      <c r="Q24">
        <v>0.24</v>
      </c>
      <c r="R24">
        <v>0</v>
      </c>
      <c r="S24" t="s">
        <v>40</v>
      </c>
      <c r="T24">
        <v>40</v>
      </c>
      <c r="U24">
        <v>20</v>
      </c>
      <c r="V24">
        <v>16</v>
      </c>
      <c r="W24">
        <v>24</v>
      </c>
      <c r="X24">
        <v>0</v>
      </c>
      <c r="Y24">
        <v>1</v>
      </c>
      <c r="Z24">
        <v>0</v>
      </c>
      <c r="AA24" t="s">
        <v>41</v>
      </c>
      <c r="AB24" t="s">
        <v>41</v>
      </c>
    </row>
    <row r="25" spans="1:35" x14ac:dyDescent="0.25">
      <c r="A25" s="1">
        <v>45957.737500000003</v>
      </c>
      <c r="B25" t="s">
        <v>35</v>
      </c>
      <c r="C25">
        <v>8.9</v>
      </c>
      <c r="D25">
        <v>128</v>
      </c>
      <c r="E25" t="s">
        <v>36</v>
      </c>
      <c r="F25" t="s">
        <v>45</v>
      </c>
      <c r="G25" t="s">
        <v>38</v>
      </c>
      <c r="H25" t="s">
        <v>39</v>
      </c>
      <c r="I25">
        <v>0.378</v>
      </c>
      <c r="J25" t="s">
        <v>40</v>
      </c>
      <c r="K25">
        <v>0.378</v>
      </c>
      <c r="L25">
        <v>1298.329</v>
      </c>
      <c r="M25" t="s">
        <v>40</v>
      </c>
      <c r="N25">
        <v>1298.329</v>
      </c>
      <c r="O25">
        <v>0.31</v>
      </c>
      <c r="P25">
        <v>813.01</v>
      </c>
      <c r="Q25">
        <v>0.24</v>
      </c>
      <c r="R25">
        <v>0</v>
      </c>
      <c r="S25" t="s">
        <v>40</v>
      </c>
      <c r="T25">
        <v>40</v>
      </c>
      <c r="U25">
        <v>20</v>
      </c>
      <c r="V25">
        <v>16</v>
      </c>
      <c r="W25">
        <v>24</v>
      </c>
      <c r="X25">
        <v>0</v>
      </c>
      <c r="Y25">
        <v>1</v>
      </c>
      <c r="Z25">
        <v>0</v>
      </c>
      <c r="AA25" t="s">
        <v>41</v>
      </c>
      <c r="AB25" t="s">
        <v>41</v>
      </c>
    </row>
    <row r="26" spans="1:35" x14ac:dyDescent="0.25">
      <c r="A26" s="1">
        <v>45957.737500000003</v>
      </c>
      <c r="B26" t="s">
        <v>35</v>
      </c>
      <c r="C26">
        <v>8.9</v>
      </c>
      <c r="D26">
        <v>128</v>
      </c>
      <c r="E26" t="s">
        <v>36</v>
      </c>
      <c r="F26" t="s">
        <v>45</v>
      </c>
      <c r="G26" t="s">
        <v>38</v>
      </c>
      <c r="H26" t="s">
        <v>39</v>
      </c>
      <c r="I26">
        <v>0.36699999999999999</v>
      </c>
      <c r="J26" t="s">
        <v>40</v>
      </c>
      <c r="K26">
        <v>0.36699999999999999</v>
      </c>
      <c r="L26">
        <v>1299.5150000000001</v>
      </c>
      <c r="M26" t="s">
        <v>40</v>
      </c>
      <c r="N26">
        <v>1299.5150000000001</v>
      </c>
      <c r="O26">
        <v>0.31</v>
      </c>
      <c r="P26">
        <v>837.99</v>
      </c>
      <c r="Q26">
        <v>0.24</v>
      </c>
      <c r="R26">
        <v>0</v>
      </c>
      <c r="S26" t="s">
        <v>40</v>
      </c>
      <c r="T26">
        <v>40</v>
      </c>
      <c r="U26">
        <v>20</v>
      </c>
      <c r="V26">
        <v>16</v>
      </c>
      <c r="W26">
        <v>24</v>
      </c>
      <c r="X26">
        <v>0</v>
      </c>
      <c r="Y26">
        <v>1</v>
      </c>
      <c r="Z26">
        <v>0</v>
      </c>
      <c r="AA26" t="s">
        <v>41</v>
      </c>
      <c r="AB26" t="s">
        <v>41</v>
      </c>
    </row>
    <row r="27" spans="1:35" x14ac:dyDescent="0.25">
      <c r="A27" s="1">
        <v>45957.737500000003</v>
      </c>
      <c r="B27" t="s">
        <v>35</v>
      </c>
      <c r="C27">
        <v>8.9</v>
      </c>
      <c r="D27">
        <v>128</v>
      </c>
      <c r="E27" t="s">
        <v>42</v>
      </c>
      <c r="F27" t="s">
        <v>45</v>
      </c>
      <c r="G27" t="s">
        <v>38</v>
      </c>
      <c r="H27" t="s">
        <v>39</v>
      </c>
      <c r="I27">
        <v>0.55800000000000005</v>
      </c>
      <c r="J27" t="s">
        <v>40</v>
      </c>
      <c r="K27">
        <v>0.55800000000000005</v>
      </c>
      <c r="L27">
        <v>3551.3449999999998</v>
      </c>
      <c r="M27" t="s">
        <v>40</v>
      </c>
      <c r="N27">
        <v>3551.3449999999998</v>
      </c>
      <c r="O27">
        <v>0.92</v>
      </c>
      <c r="P27">
        <v>1651.94</v>
      </c>
      <c r="Q27">
        <v>0.26</v>
      </c>
      <c r="R27">
        <v>0</v>
      </c>
      <c r="S27" t="s">
        <v>40</v>
      </c>
      <c r="T27">
        <v>80</v>
      </c>
      <c r="U27">
        <v>30</v>
      </c>
      <c r="V27">
        <v>16</v>
      </c>
      <c r="W27">
        <v>24</v>
      </c>
      <c r="X27">
        <v>0</v>
      </c>
      <c r="Y27">
        <v>1</v>
      </c>
      <c r="Z27">
        <v>0</v>
      </c>
      <c r="AA27" t="s">
        <v>41</v>
      </c>
      <c r="AB27" t="s">
        <v>41</v>
      </c>
      <c r="AC27">
        <f t="shared" ref="AC27" si="27">AVERAGE(I27:I31)</f>
        <v>0.55180000000000007</v>
      </c>
      <c r="AD27">
        <f t="shared" ref="AD27" si="28">_xlfn.STDEV.S(I27:I31)</f>
        <v>3.6331804249169933E-3</v>
      </c>
      <c r="AE27" t="str">
        <f t="shared" ref="AE27" si="29">TEXT(AC27,"0.000") &amp; " ± " &amp; TEXT(AD27,"0.000")</f>
        <v>0.552 ± 0.004</v>
      </c>
      <c r="AF27">
        <f t="shared" ref="AF27" si="30">AVERAGE(L27:L31)</f>
        <v>3516.0126000000005</v>
      </c>
      <c r="AG27">
        <f t="shared" ref="AG27" si="31">_xlfn.STDEV.S(L27:L31)</f>
        <v>37.050533873346488</v>
      </c>
      <c r="AH27" t="str">
        <f t="shared" ref="AH27" si="32">TEXT(AF27,"0.0") &amp; " ± " &amp; TEXT(AG27,"0.0")</f>
        <v>3516.0 ± 37.1</v>
      </c>
      <c r="AI27">
        <f t="shared" ref="AI27" si="33">ROUND(AF27/AC27,1)</f>
        <v>6371.9</v>
      </c>
    </row>
    <row r="28" spans="1:35" x14ac:dyDescent="0.25">
      <c r="A28" s="1">
        <v>45957.738194444442</v>
      </c>
      <c r="B28" t="s">
        <v>35</v>
      </c>
      <c r="C28">
        <v>8.9</v>
      </c>
      <c r="D28">
        <v>128</v>
      </c>
      <c r="E28" t="s">
        <v>42</v>
      </c>
      <c r="F28" t="s">
        <v>45</v>
      </c>
      <c r="G28" t="s">
        <v>38</v>
      </c>
      <c r="H28" t="s">
        <v>39</v>
      </c>
      <c r="I28">
        <v>0.55000000000000004</v>
      </c>
      <c r="J28" t="s">
        <v>40</v>
      </c>
      <c r="K28">
        <v>0.55000000000000004</v>
      </c>
      <c r="L28">
        <v>3543.2809999999999</v>
      </c>
      <c r="M28" t="s">
        <v>40</v>
      </c>
      <c r="N28">
        <v>3543.2809999999999</v>
      </c>
      <c r="O28">
        <v>0.92</v>
      </c>
      <c r="P28">
        <v>1675.88</v>
      </c>
      <c r="Q28">
        <v>0.26</v>
      </c>
      <c r="R28">
        <v>0</v>
      </c>
      <c r="S28" t="s">
        <v>40</v>
      </c>
      <c r="T28">
        <v>80</v>
      </c>
      <c r="U28">
        <v>30</v>
      </c>
      <c r="V28">
        <v>16</v>
      </c>
      <c r="W28">
        <v>24</v>
      </c>
      <c r="X28">
        <v>0</v>
      </c>
      <c r="Y28">
        <v>1</v>
      </c>
      <c r="Z28">
        <v>0</v>
      </c>
      <c r="AA28" t="s">
        <v>41</v>
      </c>
      <c r="AB28" t="s">
        <v>41</v>
      </c>
    </row>
    <row r="29" spans="1:35" x14ac:dyDescent="0.25">
      <c r="A29" s="1">
        <v>45957.738888888889</v>
      </c>
      <c r="B29" t="s">
        <v>35</v>
      </c>
      <c r="C29">
        <v>8.9</v>
      </c>
      <c r="D29">
        <v>128</v>
      </c>
      <c r="E29" t="s">
        <v>42</v>
      </c>
      <c r="F29" t="s">
        <v>45</v>
      </c>
      <c r="G29" t="s">
        <v>38</v>
      </c>
      <c r="H29" t="s">
        <v>39</v>
      </c>
      <c r="I29">
        <v>0.55200000000000005</v>
      </c>
      <c r="J29" t="s">
        <v>40</v>
      </c>
      <c r="K29">
        <v>0.55200000000000005</v>
      </c>
      <c r="L29">
        <v>3531.6260000000002</v>
      </c>
      <c r="M29" t="s">
        <v>40</v>
      </c>
      <c r="N29">
        <v>3531.6260000000002</v>
      </c>
      <c r="O29">
        <v>0.92</v>
      </c>
      <c r="P29">
        <v>1670.15</v>
      </c>
      <c r="Q29">
        <v>0.26</v>
      </c>
      <c r="R29">
        <v>0</v>
      </c>
      <c r="S29" t="s">
        <v>40</v>
      </c>
      <c r="T29">
        <v>80</v>
      </c>
      <c r="U29">
        <v>30</v>
      </c>
      <c r="V29">
        <v>16</v>
      </c>
      <c r="W29">
        <v>24</v>
      </c>
      <c r="X29">
        <v>0</v>
      </c>
      <c r="Y29">
        <v>1</v>
      </c>
      <c r="Z29">
        <v>0</v>
      </c>
      <c r="AA29" t="s">
        <v>41</v>
      </c>
      <c r="AB29" t="s">
        <v>41</v>
      </c>
    </row>
    <row r="30" spans="1:35" x14ac:dyDescent="0.25">
      <c r="A30" s="1">
        <v>45957.738888888889</v>
      </c>
      <c r="B30" t="s">
        <v>35</v>
      </c>
      <c r="C30">
        <v>8.9</v>
      </c>
      <c r="D30">
        <v>128</v>
      </c>
      <c r="E30" t="s">
        <v>42</v>
      </c>
      <c r="F30" t="s">
        <v>45</v>
      </c>
      <c r="G30" t="s">
        <v>38</v>
      </c>
      <c r="H30" t="s">
        <v>39</v>
      </c>
      <c r="I30">
        <v>0.54900000000000004</v>
      </c>
      <c r="J30" t="s">
        <v>40</v>
      </c>
      <c r="K30">
        <v>0.54900000000000004</v>
      </c>
      <c r="L30">
        <v>3466.9929999999999</v>
      </c>
      <c r="M30" t="s">
        <v>40</v>
      </c>
      <c r="N30">
        <v>3466.9929999999999</v>
      </c>
      <c r="O30">
        <v>0.92</v>
      </c>
      <c r="P30">
        <v>1679.1</v>
      </c>
      <c r="Q30">
        <v>0.27</v>
      </c>
      <c r="R30">
        <v>0</v>
      </c>
      <c r="S30" t="s">
        <v>40</v>
      </c>
      <c r="T30">
        <v>80</v>
      </c>
      <c r="U30">
        <v>30</v>
      </c>
      <c r="V30">
        <v>16</v>
      </c>
      <c r="W30">
        <v>24</v>
      </c>
      <c r="X30">
        <v>0</v>
      </c>
      <c r="Y30">
        <v>1</v>
      </c>
      <c r="Z30">
        <v>0</v>
      </c>
      <c r="AA30" t="s">
        <v>41</v>
      </c>
      <c r="AB30" t="s">
        <v>41</v>
      </c>
    </row>
    <row r="31" spans="1:35" x14ac:dyDescent="0.25">
      <c r="A31" s="1">
        <v>45957.739583333336</v>
      </c>
      <c r="B31" t="s">
        <v>35</v>
      </c>
      <c r="C31">
        <v>8.9</v>
      </c>
      <c r="D31">
        <v>128</v>
      </c>
      <c r="E31" t="s">
        <v>42</v>
      </c>
      <c r="F31" t="s">
        <v>45</v>
      </c>
      <c r="G31" t="s">
        <v>38</v>
      </c>
      <c r="H31" t="s">
        <v>39</v>
      </c>
      <c r="I31">
        <v>0.55000000000000004</v>
      </c>
      <c r="J31" t="s">
        <v>40</v>
      </c>
      <c r="K31">
        <v>0.55000000000000004</v>
      </c>
      <c r="L31">
        <v>3486.8180000000002</v>
      </c>
      <c r="M31" t="s">
        <v>40</v>
      </c>
      <c r="N31">
        <v>3486.8180000000002</v>
      </c>
      <c r="O31">
        <v>0.92</v>
      </c>
      <c r="P31">
        <v>1676.56</v>
      </c>
      <c r="Q31">
        <v>0.26</v>
      </c>
      <c r="R31">
        <v>0</v>
      </c>
      <c r="S31" t="s">
        <v>40</v>
      </c>
      <c r="T31">
        <v>80</v>
      </c>
      <c r="U31">
        <v>30</v>
      </c>
      <c r="V31">
        <v>16</v>
      </c>
      <c r="W31">
        <v>24</v>
      </c>
      <c r="X31">
        <v>0</v>
      </c>
      <c r="Y31">
        <v>1</v>
      </c>
      <c r="Z31">
        <v>0</v>
      </c>
      <c r="AA31" t="s">
        <v>41</v>
      </c>
      <c r="AB31" t="s">
        <v>41</v>
      </c>
    </row>
    <row r="32" spans="1:35" x14ac:dyDescent="0.25">
      <c r="A32" s="1">
        <v>45957.740277777775</v>
      </c>
      <c r="B32" t="s">
        <v>35</v>
      </c>
      <c r="C32">
        <v>8.9</v>
      </c>
      <c r="D32">
        <v>128</v>
      </c>
      <c r="E32" t="s">
        <v>43</v>
      </c>
      <c r="F32" t="s">
        <v>45</v>
      </c>
      <c r="G32" t="s">
        <v>38</v>
      </c>
      <c r="H32" t="s">
        <v>39</v>
      </c>
      <c r="I32">
        <v>0.97899999999999998</v>
      </c>
      <c r="J32" t="s">
        <v>40</v>
      </c>
      <c r="K32">
        <v>0.97899999999999998</v>
      </c>
      <c r="L32">
        <v>7790.9229999999998</v>
      </c>
      <c r="M32" t="s">
        <v>40</v>
      </c>
      <c r="N32">
        <v>7790.9229999999998</v>
      </c>
      <c r="O32">
        <v>2.0699999999999998</v>
      </c>
      <c r="P32">
        <v>2118.5500000000002</v>
      </c>
      <c r="Q32">
        <v>0.27</v>
      </c>
      <c r="R32">
        <v>0</v>
      </c>
      <c r="S32" t="s">
        <v>40</v>
      </c>
      <c r="T32">
        <v>120</v>
      </c>
      <c r="U32">
        <v>45</v>
      </c>
      <c r="V32">
        <v>16</v>
      </c>
      <c r="W32">
        <v>24</v>
      </c>
      <c r="X32">
        <v>0</v>
      </c>
      <c r="Y32">
        <v>1</v>
      </c>
      <c r="Z32">
        <v>0</v>
      </c>
      <c r="AA32" t="s">
        <v>41</v>
      </c>
      <c r="AB32" t="s">
        <v>41</v>
      </c>
      <c r="AC32">
        <f t="shared" ref="AC32" si="34">AVERAGE(I32:I36)</f>
        <v>0.97259999999999991</v>
      </c>
      <c r="AD32">
        <f t="shared" ref="AD32" si="35">_xlfn.STDEV.S(I32:I36)</f>
        <v>4.1593268686170876E-3</v>
      </c>
      <c r="AE32" t="str">
        <f t="shared" ref="AE32" si="36">TEXT(AC32,"0.000") &amp; " ± " &amp; TEXT(AD32,"0.000")</f>
        <v>0.973 ± 0.004</v>
      </c>
      <c r="AF32">
        <f t="shared" ref="AF32" si="37">AVERAGE(L32:L36)</f>
        <v>7885.6610000000001</v>
      </c>
      <c r="AG32">
        <f t="shared" ref="AG32" si="38">_xlfn.STDEV.S(L32:L36)</f>
        <v>90.123025129541745</v>
      </c>
      <c r="AH32" t="str">
        <f t="shared" ref="AH32" si="39">TEXT(AF32,"0.0") &amp; " ± " &amp; TEXT(AG32,"0.0")</f>
        <v>7885.7 ± 90.1</v>
      </c>
      <c r="AI32">
        <f t="shared" ref="AI32" si="40">ROUND(AF32/AC32,1)</f>
        <v>8107.8</v>
      </c>
    </row>
    <row r="33" spans="1:35" x14ac:dyDescent="0.25">
      <c r="A33" s="1">
        <v>45957.740277777775</v>
      </c>
      <c r="B33" t="s">
        <v>35</v>
      </c>
      <c r="C33">
        <v>8.9</v>
      </c>
      <c r="D33">
        <v>128</v>
      </c>
      <c r="E33" t="s">
        <v>43</v>
      </c>
      <c r="F33" t="s">
        <v>45</v>
      </c>
      <c r="G33" t="s">
        <v>38</v>
      </c>
      <c r="H33" t="s">
        <v>39</v>
      </c>
      <c r="I33">
        <v>0.97399999999999998</v>
      </c>
      <c r="J33" t="s">
        <v>40</v>
      </c>
      <c r="K33">
        <v>0.97399999999999998</v>
      </c>
      <c r="L33">
        <v>7949.2049999999999</v>
      </c>
      <c r="M33" t="s">
        <v>40</v>
      </c>
      <c r="N33">
        <v>7949.2049999999999</v>
      </c>
      <c r="O33">
        <v>2.0699999999999998</v>
      </c>
      <c r="P33">
        <v>2130.04</v>
      </c>
      <c r="Q33">
        <v>0.26</v>
      </c>
      <c r="R33">
        <v>0</v>
      </c>
      <c r="S33" t="s">
        <v>40</v>
      </c>
      <c r="T33">
        <v>120</v>
      </c>
      <c r="U33">
        <v>45</v>
      </c>
      <c r="V33">
        <v>16</v>
      </c>
      <c r="W33">
        <v>24</v>
      </c>
      <c r="X33">
        <v>0</v>
      </c>
      <c r="Y33">
        <v>1</v>
      </c>
      <c r="Z33">
        <v>0</v>
      </c>
      <c r="AA33" t="s">
        <v>41</v>
      </c>
      <c r="AB33" t="s">
        <v>41</v>
      </c>
    </row>
    <row r="34" spans="1:35" x14ac:dyDescent="0.25">
      <c r="A34" s="1">
        <v>45957.740972222222</v>
      </c>
      <c r="B34" t="s">
        <v>35</v>
      </c>
      <c r="C34">
        <v>8.9</v>
      </c>
      <c r="D34">
        <v>128</v>
      </c>
      <c r="E34" t="s">
        <v>43</v>
      </c>
      <c r="F34" t="s">
        <v>45</v>
      </c>
      <c r="G34" t="s">
        <v>38</v>
      </c>
      <c r="H34" t="s">
        <v>39</v>
      </c>
      <c r="I34">
        <v>0.96899999999999997</v>
      </c>
      <c r="J34" t="s">
        <v>40</v>
      </c>
      <c r="K34">
        <v>0.96899999999999997</v>
      </c>
      <c r="L34">
        <v>7787.5990000000002</v>
      </c>
      <c r="M34" t="s">
        <v>40</v>
      </c>
      <c r="N34">
        <v>7787.5990000000002</v>
      </c>
      <c r="O34">
        <v>2.0699999999999998</v>
      </c>
      <c r="P34">
        <v>2140.38</v>
      </c>
      <c r="Q34">
        <v>0.27</v>
      </c>
      <c r="R34">
        <v>0</v>
      </c>
      <c r="S34" t="s">
        <v>40</v>
      </c>
      <c r="T34">
        <v>120</v>
      </c>
      <c r="U34">
        <v>45</v>
      </c>
      <c r="V34">
        <v>16</v>
      </c>
      <c r="W34">
        <v>24</v>
      </c>
      <c r="X34">
        <v>0</v>
      </c>
      <c r="Y34">
        <v>1</v>
      </c>
      <c r="Z34">
        <v>0</v>
      </c>
      <c r="AA34" t="s">
        <v>41</v>
      </c>
      <c r="AB34" t="s">
        <v>41</v>
      </c>
    </row>
    <row r="35" spans="1:35" x14ac:dyDescent="0.25">
      <c r="A35" s="1">
        <v>45957.740972222222</v>
      </c>
      <c r="B35" t="s">
        <v>35</v>
      </c>
      <c r="C35">
        <v>8.9</v>
      </c>
      <c r="D35">
        <v>128</v>
      </c>
      <c r="E35" t="s">
        <v>43</v>
      </c>
      <c r="F35" t="s">
        <v>45</v>
      </c>
      <c r="G35" t="s">
        <v>38</v>
      </c>
      <c r="H35" t="s">
        <v>39</v>
      </c>
      <c r="I35">
        <v>0.96899999999999997</v>
      </c>
      <c r="J35" t="s">
        <v>40</v>
      </c>
      <c r="K35">
        <v>0.96899999999999997</v>
      </c>
      <c r="L35">
        <v>7922.85</v>
      </c>
      <c r="M35" t="s">
        <v>40</v>
      </c>
      <c r="N35">
        <v>7922.85</v>
      </c>
      <c r="O35">
        <v>2.0699999999999998</v>
      </c>
      <c r="P35">
        <v>2140.59</v>
      </c>
      <c r="Q35">
        <v>0.26</v>
      </c>
      <c r="R35">
        <v>0</v>
      </c>
      <c r="S35" t="s">
        <v>40</v>
      </c>
      <c r="T35">
        <v>120</v>
      </c>
      <c r="U35">
        <v>45</v>
      </c>
      <c r="V35">
        <v>16</v>
      </c>
      <c r="W35">
        <v>24</v>
      </c>
      <c r="X35">
        <v>0</v>
      </c>
      <c r="Y35">
        <v>1</v>
      </c>
      <c r="Z35">
        <v>0</v>
      </c>
      <c r="AA35" t="s">
        <v>41</v>
      </c>
      <c r="AB35" t="s">
        <v>41</v>
      </c>
    </row>
    <row r="36" spans="1:35" x14ac:dyDescent="0.25">
      <c r="A36" s="1">
        <v>45957.741666666669</v>
      </c>
      <c r="B36" t="s">
        <v>35</v>
      </c>
      <c r="C36">
        <v>8.9</v>
      </c>
      <c r="D36">
        <v>128</v>
      </c>
      <c r="E36" t="s">
        <v>43</v>
      </c>
      <c r="F36" t="s">
        <v>45</v>
      </c>
      <c r="G36" t="s">
        <v>38</v>
      </c>
      <c r="H36" t="s">
        <v>39</v>
      </c>
      <c r="I36">
        <v>0.97199999999999998</v>
      </c>
      <c r="J36" t="s">
        <v>40</v>
      </c>
      <c r="K36">
        <v>0.97199999999999998</v>
      </c>
      <c r="L36">
        <v>7977.7280000000001</v>
      </c>
      <c r="M36" t="s">
        <v>40</v>
      </c>
      <c r="N36">
        <v>7977.7280000000001</v>
      </c>
      <c r="O36">
        <v>2.0699999999999998</v>
      </c>
      <c r="P36">
        <v>2133.83</v>
      </c>
      <c r="Q36">
        <v>0.26</v>
      </c>
      <c r="R36">
        <v>0</v>
      </c>
      <c r="S36" t="s">
        <v>40</v>
      </c>
      <c r="T36">
        <v>120</v>
      </c>
      <c r="U36">
        <v>45</v>
      </c>
      <c r="V36">
        <v>16</v>
      </c>
      <c r="W36">
        <v>24</v>
      </c>
      <c r="X36">
        <v>0</v>
      </c>
      <c r="Y36">
        <v>1</v>
      </c>
      <c r="Z36">
        <v>0</v>
      </c>
      <c r="AA36" t="s">
        <v>41</v>
      </c>
      <c r="AB36" t="s">
        <v>41</v>
      </c>
    </row>
    <row r="37" spans="1:35" x14ac:dyDescent="0.25">
      <c r="A37" s="1">
        <v>45957.743055555555</v>
      </c>
      <c r="B37" t="s">
        <v>35</v>
      </c>
      <c r="C37">
        <v>8.9</v>
      </c>
      <c r="D37">
        <v>128</v>
      </c>
      <c r="E37" t="s">
        <v>44</v>
      </c>
      <c r="F37" t="s">
        <v>45</v>
      </c>
      <c r="G37" t="s">
        <v>38</v>
      </c>
      <c r="H37" t="s">
        <v>39</v>
      </c>
      <c r="I37">
        <v>4.2050000000000001</v>
      </c>
      <c r="J37" t="s">
        <v>40</v>
      </c>
      <c r="K37">
        <v>4.2050000000000001</v>
      </c>
      <c r="L37">
        <v>31590.958999999999</v>
      </c>
      <c r="M37" t="s">
        <v>40</v>
      </c>
      <c r="N37">
        <v>31590.958999999999</v>
      </c>
      <c r="O37">
        <v>8.2899999999999991</v>
      </c>
      <c r="P37">
        <v>1972.72</v>
      </c>
      <c r="Q37">
        <v>0.26</v>
      </c>
      <c r="R37">
        <v>0</v>
      </c>
      <c r="S37" t="s">
        <v>40</v>
      </c>
      <c r="T37">
        <v>240</v>
      </c>
      <c r="U37">
        <v>90</v>
      </c>
      <c r="V37">
        <v>16</v>
      </c>
      <c r="W37">
        <v>24</v>
      </c>
      <c r="X37">
        <v>0</v>
      </c>
      <c r="Y37">
        <v>1</v>
      </c>
      <c r="Z37">
        <v>0</v>
      </c>
      <c r="AA37" t="s">
        <v>41</v>
      </c>
      <c r="AB37" t="s">
        <v>41</v>
      </c>
      <c r="AC37">
        <f>AVERAGE(I37:I41)</f>
        <v>3.9804000000000004</v>
      </c>
      <c r="AD37">
        <f>_xlfn.STDEV.S(I37:I41)</f>
        <v>0.30667376803372021</v>
      </c>
      <c r="AE37" t="str">
        <f>TEXT(AC37,"0.000") &amp; " ± " &amp; TEXT(AD37,"0.000")</f>
        <v>3.980 ± 0.307</v>
      </c>
      <c r="AF37">
        <f>AVERAGE(L37:L41)</f>
        <v>31773.344799999999</v>
      </c>
      <c r="AG37">
        <f t="shared" ref="AG37" si="41">_xlfn.STDEV.S(L37:L41)</f>
        <v>521.7982287031067</v>
      </c>
      <c r="AH37" t="str">
        <f>TEXT(AF37,"0.0") &amp; " ± " &amp; TEXT(AG37,"0.0")</f>
        <v>31773.3 ± 521.8</v>
      </c>
      <c r="AI37">
        <f>ROUND(AF37/AC37,1)</f>
        <v>7982.5</v>
      </c>
    </row>
    <row r="38" spans="1:35" x14ac:dyDescent="0.25">
      <c r="A38" s="1">
        <v>45957.743750000001</v>
      </c>
      <c r="B38" t="s">
        <v>35</v>
      </c>
      <c r="C38">
        <v>8.9</v>
      </c>
      <c r="D38">
        <v>128</v>
      </c>
      <c r="E38" t="s">
        <v>44</v>
      </c>
      <c r="F38" t="s">
        <v>45</v>
      </c>
      <c r="G38" t="s">
        <v>38</v>
      </c>
      <c r="H38" t="s">
        <v>39</v>
      </c>
      <c r="I38">
        <v>4.2110000000000003</v>
      </c>
      <c r="J38" t="s">
        <v>40</v>
      </c>
      <c r="K38">
        <v>4.2110000000000003</v>
      </c>
      <c r="L38">
        <v>31730.218000000001</v>
      </c>
      <c r="M38" t="s">
        <v>40</v>
      </c>
      <c r="N38">
        <v>31730.218000000001</v>
      </c>
      <c r="O38">
        <v>8.2899999999999991</v>
      </c>
      <c r="P38">
        <v>1969.84</v>
      </c>
      <c r="Q38">
        <v>0.26</v>
      </c>
      <c r="R38">
        <v>0</v>
      </c>
      <c r="S38" t="s">
        <v>40</v>
      </c>
      <c r="T38">
        <v>240</v>
      </c>
      <c r="U38">
        <v>90</v>
      </c>
      <c r="V38">
        <v>16</v>
      </c>
      <c r="W38">
        <v>24</v>
      </c>
      <c r="X38">
        <v>0</v>
      </c>
      <c r="Y38">
        <v>1</v>
      </c>
      <c r="Z38">
        <v>0</v>
      </c>
      <c r="AA38" t="s">
        <v>41</v>
      </c>
      <c r="AB38" t="s">
        <v>41</v>
      </c>
    </row>
    <row r="39" spans="1:35" x14ac:dyDescent="0.25">
      <c r="A39" s="1">
        <v>45957.743750000001</v>
      </c>
      <c r="B39" t="s">
        <v>35</v>
      </c>
      <c r="C39">
        <v>8.9</v>
      </c>
      <c r="D39">
        <v>128</v>
      </c>
      <c r="E39" t="s">
        <v>44</v>
      </c>
      <c r="F39" t="s">
        <v>45</v>
      </c>
      <c r="G39" t="s">
        <v>38</v>
      </c>
      <c r="H39" t="s">
        <v>39</v>
      </c>
      <c r="I39">
        <v>3.645</v>
      </c>
      <c r="J39" t="s">
        <v>40</v>
      </c>
      <c r="K39">
        <v>3.645</v>
      </c>
      <c r="L39">
        <v>32270.120999999999</v>
      </c>
      <c r="M39" t="s">
        <v>40</v>
      </c>
      <c r="N39">
        <v>32270.120999999999</v>
      </c>
      <c r="O39">
        <v>8.2899999999999991</v>
      </c>
      <c r="P39">
        <v>2275.3200000000002</v>
      </c>
      <c r="Q39">
        <v>0.26</v>
      </c>
      <c r="R39">
        <v>0</v>
      </c>
      <c r="S39" t="s">
        <v>40</v>
      </c>
      <c r="T39">
        <v>240</v>
      </c>
      <c r="U39">
        <v>90</v>
      </c>
      <c r="V39">
        <v>16</v>
      </c>
      <c r="W39">
        <v>24</v>
      </c>
      <c r="X39">
        <v>0</v>
      </c>
      <c r="Y39">
        <v>1</v>
      </c>
      <c r="Z39">
        <v>0</v>
      </c>
      <c r="AA39" t="s">
        <v>41</v>
      </c>
      <c r="AB39" t="s">
        <v>41</v>
      </c>
    </row>
    <row r="40" spans="1:35" x14ac:dyDescent="0.25">
      <c r="A40" s="1">
        <v>45957.745138888888</v>
      </c>
      <c r="B40" t="s">
        <v>35</v>
      </c>
      <c r="C40">
        <v>8.9</v>
      </c>
      <c r="D40">
        <v>128</v>
      </c>
      <c r="E40" t="s">
        <v>44</v>
      </c>
      <c r="F40" t="s">
        <v>45</v>
      </c>
      <c r="G40" t="s">
        <v>38</v>
      </c>
      <c r="H40" t="s">
        <v>39</v>
      </c>
      <c r="I40">
        <v>3.6440000000000001</v>
      </c>
      <c r="J40" t="s">
        <v>40</v>
      </c>
      <c r="K40">
        <v>3.6440000000000001</v>
      </c>
      <c r="L40">
        <v>31017.072</v>
      </c>
      <c r="M40" t="s">
        <v>40</v>
      </c>
      <c r="N40">
        <v>31017.072</v>
      </c>
      <c r="O40">
        <v>8.2899999999999991</v>
      </c>
      <c r="P40">
        <v>2276</v>
      </c>
      <c r="Q40">
        <v>0.27</v>
      </c>
      <c r="R40">
        <v>0</v>
      </c>
      <c r="S40" t="s">
        <v>40</v>
      </c>
      <c r="T40">
        <v>240</v>
      </c>
      <c r="U40">
        <v>90</v>
      </c>
      <c r="V40">
        <v>16</v>
      </c>
      <c r="W40">
        <v>24</v>
      </c>
      <c r="X40">
        <v>0</v>
      </c>
      <c r="Y40">
        <v>1</v>
      </c>
      <c r="Z40">
        <v>0</v>
      </c>
      <c r="AA40" t="s">
        <v>41</v>
      </c>
      <c r="AB40" t="s">
        <v>41</v>
      </c>
    </row>
    <row r="41" spans="1:35" x14ac:dyDescent="0.25">
      <c r="A41" s="1">
        <v>45957.745833333334</v>
      </c>
      <c r="B41" t="s">
        <v>35</v>
      </c>
      <c r="C41">
        <v>8.9</v>
      </c>
      <c r="D41">
        <v>128</v>
      </c>
      <c r="E41" t="s">
        <v>44</v>
      </c>
      <c r="F41" t="s">
        <v>45</v>
      </c>
      <c r="G41" t="s">
        <v>38</v>
      </c>
      <c r="H41" t="s">
        <v>39</v>
      </c>
      <c r="I41">
        <v>4.1970000000000001</v>
      </c>
      <c r="J41" t="s">
        <v>40</v>
      </c>
      <c r="K41">
        <v>4.1970000000000001</v>
      </c>
      <c r="L41">
        <v>32258.353999999999</v>
      </c>
      <c r="M41" t="s">
        <v>40</v>
      </c>
      <c r="N41">
        <v>32258.353999999999</v>
      </c>
      <c r="O41">
        <v>8.2899999999999991</v>
      </c>
      <c r="P41">
        <v>1976.09</v>
      </c>
      <c r="Q41">
        <v>0.26</v>
      </c>
      <c r="R41">
        <v>0</v>
      </c>
      <c r="S41" t="s">
        <v>40</v>
      </c>
      <c r="T41">
        <v>240</v>
      </c>
      <c r="U41">
        <v>90</v>
      </c>
      <c r="V41">
        <v>16</v>
      </c>
      <c r="W41">
        <v>24</v>
      </c>
      <c r="X41">
        <v>0</v>
      </c>
      <c r="Y41">
        <v>1</v>
      </c>
      <c r="Z41">
        <v>0</v>
      </c>
      <c r="AA41" t="s">
        <v>41</v>
      </c>
      <c r="AB41" t="s">
        <v>41</v>
      </c>
    </row>
    <row r="42" spans="1:35" x14ac:dyDescent="0.25">
      <c r="A42" s="1">
        <v>45957.748611111114</v>
      </c>
      <c r="B42" t="s">
        <v>35</v>
      </c>
      <c r="C42">
        <v>8.9</v>
      </c>
      <c r="D42">
        <v>128</v>
      </c>
      <c r="E42" t="s">
        <v>36</v>
      </c>
      <c r="F42" t="s">
        <v>46</v>
      </c>
      <c r="G42" t="s">
        <v>38</v>
      </c>
      <c r="H42" t="s">
        <v>39</v>
      </c>
      <c r="I42">
        <v>0.52600000000000002</v>
      </c>
      <c r="J42" t="s">
        <v>40</v>
      </c>
      <c r="K42">
        <v>0.52600000000000002</v>
      </c>
      <c r="L42">
        <v>2695.395</v>
      </c>
      <c r="M42" t="s">
        <v>40</v>
      </c>
      <c r="N42">
        <v>2695.395</v>
      </c>
      <c r="O42">
        <v>0.31</v>
      </c>
      <c r="P42">
        <v>583.91</v>
      </c>
      <c r="Q42">
        <v>0.11</v>
      </c>
      <c r="R42">
        <v>0</v>
      </c>
      <c r="S42" t="s">
        <v>40</v>
      </c>
      <c r="T42">
        <v>40</v>
      </c>
      <c r="U42">
        <v>20</v>
      </c>
      <c r="V42">
        <v>16</v>
      </c>
      <c r="W42">
        <v>24</v>
      </c>
      <c r="X42">
        <v>0</v>
      </c>
      <c r="Y42">
        <v>1</v>
      </c>
      <c r="Z42">
        <v>0</v>
      </c>
      <c r="AA42" t="s">
        <v>41</v>
      </c>
      <c r="AB42" t="s">
        <v>41</v>
      </c>
      <c r="AC42">
        <f t="shared" ref="AC42" si="42">AVERAGE(I42:I46)</f>
        <v>0.57579999999999998</v>
      </c>
      <c r="AD42">
        <f t="shared" ref="AD42" si="43">_xlfn.STDEV.S(I42:I46)</f>
        <v>0.11758911514251666</v>
      </c>
      <c r="AE42" t="str">
        <f t="shared" ref="AE42" si="44">TEXT(AC42,"0.000") &amp; " ± " &amp; TEXT(AD42,"0.000")</f>
        <v>0.576 ± 0.118</v>
      </c>
      <c r="AF42">
        <f t="shared" ref="AF42" si="45">AVERAGE(L42:L46)</f>
        <v>2697.1163999999999</v>
      </c>
      <c r="AG42">
        <f t="shared" ref="AG42" si="46">_xlfn.STDEV.S(L42:L46)</f>
        <v>13.475457869771885</v>
      </c>
      <c r="AH42" t="str">
        <f t="shared" ref="AH42" si="47">TEXT(AF42,"0.0") &amp; " ± " &amp; TEXT(AG42,"0.0")</f>
        <v>2697.1 ± 13.5</v>
      </c>
      <c r="AI42">
        <f t="shared" ref="AI42" si="48">ROUND(AF42/AC42,1)</f>
        <v>4684.1000000000004</v>
      </c>
    </row>
    <row r="43" spans="1:35" x14ac:dyDescent="0.25">
      <c r="A43" s="1">
        <v>45957.749305555553</v>
      </c>
      <c r="B43" t="s">
        <v>35</v>
      </c>
      <c r="C43">
        <v>8.9</v>
      </c>
      <c r="D43">
        <v>128</v>
      </c>
      <c r="E43" t="s">
        <v>36</v>
      </c>
      <c r="F43" t="s">
        <v>46</v>
      </c>
      <c r="G43" t="s">
        <v>38</v>
      </c>
      <c r="H43" t="s">
        <v>39</v>
      </c>
      <c r="I43">
        <v>0.52</v>
      </c>
      <c r="J43" t="s">
        <v>40</v>
      </c>
      <c r="K43">
        <v>0.52</v>
      </c>
      <c r="L43">
        <v>2688.0050000000001</v>
      </c>
      <c r="M43" t="s">
        <v>40</v>
      </c>
      <c r="N43">
        <v>2688.0050000000001</v>
      </c>
      <c r="O43">
        <v>0.31</v>
      </c>
      <c r="P43">
        <v>590.84</v>
      </c>
      <c r="Q43">
        <v>0.11</v>
      </c>
      <c r="R43">
        <v>0</v>
      </c>
      <c r="S43" t="s">
        <v>40</v>
      </c>
      <c r="T43">
        <v>40</v>
      </c>
      <c r="U43">
        <v>20</v>
      </c>
      <c r="V43">
        <v>16</v>
      </c>
      <c r="W43">
        <v>24</v>
      </c>
      <c r="X43">
        <v>0</v>
      </c>
      <c r="Y43">
        <v>1</v>
      </c>
      <c r="Z43">
        <v>0</v>
      </c>
      <c r="AA43" t="s">
        <v>41</v>
      </c>
      <c r="AB43" t="s">
        <v>41</v>
      </c>
    </row>
    <row r="44" spans="1:35" x14ac:dyDescent="0.25">
      <c r="A44" s="1">
        <v>45957.749305555553</v>
      </c>
      <c r="B44" t="s">
        <v>35</v>
      </c>
      <c r="C44">
        <v>8.9</v>
      </c>
      <c r="D44">
        <v>128</v>
      </c>
      <c r="E44" t="s">
        <v>36</v>
      </c>
      <c r="F44" t="s">
        <v>46</v>
      </c>
      <c r="G44" t="s">
        <v>38</v>
      </c>
      <c r="H44" t="s">
        <v>39</v>
      </c>
      <c r="I44">
        <v>0.78600000000000003</v>
      </c>
      <c r="J44" t="s">
        <v>40</v>
      </c>
      <c r="K44">
        <v>0.78600000000000003</v>
      </c>
      <c r="L44">
        <v>2707.011</v>
      </c>
      <c r="M44" t="s">
        <v>40</v>
      </c>
      <c r="N44">
        <v>2707.011</v>
      </c>
      <c r="O44">
        <v>0.31</v>
      </c>
      <c r="P44">
        <v>390.62</v>
      </c>
      <c r="Q44">
        <v>0.11</v>
      </c>
      <c r="R44">
        <v>0</v>
      </c>
      <c r="S44" t="s">
        <v>40</v>
      </c>
      <c r="T44">
        <v>40</v>
      </c>
      <c r="U44">
        <v>20</v>
      </c>
      <c r="V44">
        <v>16</v>
      </c>
      <c r="W44">
        <v>24</v>
      </c>
      <c r="X44">
        <v>0</v>
      </c>
      <c r="Y44">
        <v>1</v>
      </c>
      <c r="Z44">
        <v>0</v>
      </c>
      <c r="AA44" t="s">
        <v>41</v>
      </c>
      <c r="AB44" t="s">
        <v>41</v>
      </c>
    </row>
    <row r="45" spans="1:35" x14ac:dyDescent="0.25">
      <c r="A45" s="1">
        <v>45957.749305555553</v>
      </c>
      <c r="B45" t="s">
        <v>35</v>
      </c>
      <c r="C45">
        <v>8.9</v>
      </c>
      <c r="D45">
        <v>128</v>
      </c>
      <c r="E45" t="s">
        <v>36</v>
      </c>
      <c r="F45" t="s">
        <v>46</v>
      </c>
      <c r="G45" t="s">
        <v>38</v>
      </c>
      <c r="H45" t="s">
        <v>39</v>
      </c>
      <c r="I45">
        <v>0.51800000000000002</v>
      </c>
      <c r="J45" t="s">
        <v>40</v>
      </c>
      <c r="K45">
        <v>0.51800000000000002</v>
      </c>
      <c r="L45">
        <v>2681.123</v>
      </c>
      <c r="M45" t="s">
        <v>40</v>
      </c>
      <c r="N45">
        <v>2681.123</v>
      </c>
      <c r="O45">
        <v>0.31</v>
      </c>
      <c r="P45">
        <v>592.89</v>
      </c>
      <c r="Q45">
        <v>0.11</v>
      </c>
      <c r="R45">
        <v>0</v>
      </c>
      <c r="S45" t="s">
        <v>40</v>
      </c>
      <c r="T45">
        <v>40</v>
      </c>
      <c r="U45">
        <v>20</v>
      </c>
      <c r="V45">
        <v>16</v>
      </c>
      <c r="W45">
        <v>24</v>
      </c>
      <c r="X45">
        <v>0</v>
      </c>
      <c r="Y45">
        <v>1</v>
      </c>
      <c r="Z45">
        <v>0</v>
      </c>
      <c r="AA45" t="s">
        <v>41</v>
      </c>
      <c r="AB45" t="s">
        <v>41</v>
      </c>
    </row>
    <row r="46" spans="1:35" x14ac:dyDescent="0.25">
      <c r="A46" s="1">
        <v>45957.749305555553</v>
      </c>
      <c r="B46" t="s">
        <v>35</v>
      </c>
      <c r="C46">
        <v>8.9</v>
      </c>
      <c r="D46">
        <v>128</v>
      </c>
      <c r="E46" t="s">
        <v>36</v>
      </c>
      <c r="F46" t="s">
        <v>46</v>
      </c>
      <c r="G46" t="s">
        <v>38</v>
      </c>
      <c r="H46" t="s">
        <v>39</v>
      </c>
      <c r="I46">
        <v>0.52900000000000003</v>
      </c>
      <c r="J46" t="s">
        <v>40</v>
      </c>
      <c r="K46">
        <v>0.52900000000000003</v>
      </c>
      <c r="L46">
        <v>2714.0479999999998</v>
      </c>
      <c r="M46" t="s">
        <v>40</v>
      </c>
      <c r="N46">
        <v>2714.0479999999998</v>
      </c>
      <c r="O46">
        <v>0.31</v>
      </c>
      <c r="P46">
        <v>580.34</v>
      </c>
      <c r="Q46">
        <v>0.11</v>
      </c>
      <c r="R46">
        <v>0</v>
      </c>
      <c r="S46" t="s">
        <v>40</v>
      </c>
      <c r="T46">
        <v>40</v>
      </c>
      <c r="U46">
        <v>20</v>
      </c>
      <c r="V46">
        <v>16</v>
      </c>
      <c r="W46">
        <v>24</v>
      </c>
      <c r="X46">
        <v>0</v>
      </c>
      <c r="Y46">
        <v>1</v>
      </c>
      <c r="Z46">
        <v>0</v>
      </c>
      <c r="AA46" t="s">
        <v>41</v>
      </c>
      <c r="AB46" t="s">
        <v>41</v>
      </c>
    </row>
    <row r="47" spans="1:35" x14ac:dyDescent="0.25">
      <c r="A47" s="1">
        <v>45957.751388888886</v>
      </c>
      <c r="B47" t="s">
        <v>35</v>
      </c>
      <c r="C47">
        <v>8.9</v>
      </c>
      <c r="D47">
        <v>128</v>
      </c>
      <c r="E47" t="s">
        <v>42</v>
      </c>
      <c r="F47" t="s">
        <v>46</v>
      </c>
      <c r="G47" t="s">
        <v>38</v>
      </c>
      <c r="H47" t="s">
        <v>39</v>
      </c>
      <c r="I47">
        <v>0.98</v>
      </c>
      <c r="J47" t="s">
        <v>40</v>
      </c>
      <c r="K47">
        <v>0.98</v>
      </c>
      <c r="L47">
        <v>7374.3140000000003</v>
      </c>
      <c r="M47" t="s">
        <v>40</v>
      </c>
      <c r="N47">
        <v>7374.3140000000003</v>
      </c>
      <c r="O47">
        <v>0.92</v>
      </c>
      <c r="P47">
        <v>940.44</v>
      </c>
      <c r="Q47">
        <v>0.12</v>
      </c>
      <c r="R47">
        <v>0</v>
      </c>
      <c r="S47" t="s">
        <v>40</v>
      </c>
      <c r="T47">
        <v>80</v>
      </c>
      <c r="U47">
        <v>30</v>
      </c>
      <c r="V47">
        <v>16</v>
      </c>
      <c r="W47">
        <v>24</v>
      </c>
      <c r="X47">
        <v>0</v>
      </c>
      <c r="Y47">
        <v>1</v>
      </c>
      <c r="Z47">
        <v>0</v>
      </c>
      <c r="AA47" t="s">
        <v>41</v>
      </c>
      <c r="AB47" t="s">
        <v>41</v>
      </c>
      <c r="AC47">
        <f t="shared" ref="AC47" si="49">AVERAGE(I47:I51)</f>
        <v>1.0879999999999999</v>
      </c>
      <c r="AD47">
        <f t="shared" ref="AD47" si="50">_xlfn.STDEV.S(I47:I51)</f>
        <v>0.2364815003335361</v>
      </c>
      <c r="AE47" t="str">
        <f t="shared" ref="AE47" si="51">TEXT(AC47,"0.000") &amp; " ± " &amp; TEXT(AD47,"0.000")</f>
        <v>1.088 ± 0.236</v>
      </c>
      <c r="AF47">
        <f t="shared" ref="AF47" si="52">AVERAGE(L47:L51)</f>
        <v>7253.2866000000013</v>
      </c>
      <c r="AG47">
        <f t="shared" ref="AG47" si="53">_xlfn.STDEV.S(L47:L51)</f>
        <v>184.01599354077882</v>
      </c>
      <c r="AH47" t="str">
        <f t="shared" ref="AH47" si="54">TEXT(AF47,"0.0") &amp; " ± " &amp; TEXT(AG47,"0.0")</f>
        <v>7253.3 ± 184.0</v>
      </c>
      <c r="AI47">
        <f t="shared" ref="AI47" si="55">ROUND(AF47/AC47,1)</f>
        <v>6666.6</v>
      </c>
    </row>
    <row r="48" spans="1:35" x14ac:dyDescent="0.25">
      <c r="A48" s="1">
        <v>45957.751388888886</v>
      </c>
      <c r="B48" t="s">
        <v>35</v>
      </c>
      <c r="C48">
        <v>8.9</v>
      </c>
      <c r="D48">
        <v>128</v>
      </c>
      <c r="E48" t="s">
        <v>42</v>
      </c>
      <c r="F48" t="s">
        <v>46</v>
      </c>
      <c r="G48" t="s">
        <v>38</v>
      </c>
      <c r="H48" t="s">
        <v>39</v>
      </c>
      <c r="I48">
        <v>0.97899999999999998</v>
      </c>
      <c r="J48" t="s">
        <v>40</v>
      </c>
      <c r="K48">
        <v>0.97899999999999998</v>
      </c>
      <c r="L48">
        <v>7399.9380000000001</v>
      </c>
      <c r="M48" t="s">
        <v>40</v>
      </c>
      <c r="N48">
        <v>7399.9380000000001</v>
      </c>
      <c r="O48">
        <v>0.92</v>
      </c>
      <c r="P48">
        <v>941.42</v>
      </c>
      <c r="Q48">
        <v>0.12</v>
      </c>
      <c r="R48">
        <v>0</v>
      </c>
      <c r="S48" t="s">
        <v>40</v>
      </c>
      <c r="T48">
        <v>80</v>
      </c>
      <c r="U48">
        <v>30</v>
      </c>
      <c r="V48">
        <v>16</v>
      </c>
      <c r="W48">
        <v>24</v>
      </c>
      <c r="X48">
        <v>0</v>
      </c>
      <c r="Y48">
        <v>1</v>
      </c>
      <c r="Z48">
        <v>0</v>
      </c>
      <c r="AA48" t="s">
        <v>41</v>
      </c>
      <c r="AB48" t="s">
        <v>41</v>
      </c>
    </row>
    <row r="49" spans="1:35" x14ac:dyDescent="0.25">
      <c r="A49" s="1">
        <v>45957.759027777778</v>
      </c>
      <c r="B49" t="s">
        <v>35</v>
      </c>
      <c r="C49">
        <v>8.9</v>
      </c>
      <c r="D49">
        <v>128</v>
      </c>
      <c r="E49" t="s">
        <v>42</v>
      </c>
      <c r="F49" t="s">
        <v>46</v>
      </c>
      <c r="G49" t="s">
        <v>38</v>
      </c>
      <c r="H49" t="s">
        <v>39</v>
      </c>
      <c r="I49">
        <v>0.98399999999999999</v>
      </c>
      <c r="J49" t="s">
        <v>40</v>
      </c>
      <c r="K49">
        <v>0.98399999999999999</v>
      </c>
      <c r="L49">
        <v>7059.2830000000004</v>
      </c>
      <c r="M49" t="s">
        <v>40</v>
      </c>
      <c r="N49">
        <v>7059.2830000000004</v>
      </c>
      <c r="O49">
        <v>0.92</v>
      </c>
      <c r="P49">
        <v>936.52</v>
      </c>
      <c r="Q49">
        <v>0.13</v>
      </c>
      <c r="R49">
        <v>0</v>
      </c>
      <c r="S49" t="s">
        <v>40</v>
      </c>
      <c r="T49">
        <v>80</v>
      </c>
      <c r="U49">
        <v>30</v>
      </c>
      <c r="V49">
        <v>16</v>
      </c>
      <c r="W49">
        <v>24</v>
      </c>
      <c r="X49">
        <v>0</v>
      </c>
      <c r="Y49">
        <v>1</v>
      </c>
      <c r="Z49">
        <v>0</v>
      </c>
      <c r="AA49" t="s">
        <v>41</v>
      </c>
      <c r="AB49" t="s">
        <v>41</v>
      </c>
    </row>
    <row r="50" spans="1:35" x14ac:dyDescent="0.25">
      <c r="A50" s="1">
        <v>45957.759027777778</v>
      </c>
      <c r="B50" t="s">
        <v>35</v>
      </c>
      <c r="C50">
        <v>8.9</v>
      </c>
      <c r="D50">
        <v>128</v>
      </c>
      <c r="E50" t="s">
        <v>42</v>
      </c>
      <c r="F50" t="s">
        <v>46</v>
      </c>
      <c r="G50" t="s">
        <v>38</v>
      </c>
      <c r="H50" t="s">
        <v>39</v>
      </c>
      <c r="I50">
        <v>1.5109999999999999</v>
      </c>
      <c r="J50" t="s">
        <v>40</v>
      </c>
      <c r="K50">
        <v>1.5109999999999999</v>
      </c>
      <c r="L50">
        <v>7044.7780000000002</v>
      </c>
      <c r="M50" t="s">
        <v>40</v>
      </c>
      <c r="N50">
        <v>7044.7780000000002</v>
      </c>
      <c r="O50">
        <v>0.92</v>
      </c>
      <c r="P50">
        <v>609.76</v>
      </c>
      <c r="Q50">
        <v>0.13</v>
      </c>
      <c r="R50">
        <v>0</v>
      </c>
      <c r="S50" t="s">
        <v>40</v>
      </c>
      <c r="T50">
        <v>80</v>
      </c>
      <c r="U50">
        <v>30</v>
      </c>
      <c r="V50">
        <v>16</v>
      </c>
      <c r="W50">
        <v>24</v>
      </c>
      <c r="X50">
        <v>0</v>
      </c>
      <c r="Y50">
        <v>1</v>
      </c>
      <c r="Z50">
        <v>0</v>
      </c>
      <c r="AA50" t="s">
        <v>41</v>
      </c>
      <c r="AB50" t="s">
        <v>41</v>
      </c>
    </row>
    <row r="51" spans="1:35" x14ac:dyDescent="0.25">
      <c r="A51" s="1">
        <v>45957.761111111111</v>
      </c>
      <c r="B51" t="s">
        <v>35</v>
      </c>
      <c r="C51">
        <v>8.9</v>
      </c>
      <c r="D51">
        <v>128</v>
      </c>
      <c r="E51" t="s">
        <v>42</v>
      </c>
      <c r="F51" t="s">
        <v>46</v>
      </c>
      <c r="G51" t="s">
        <v>38</v>
      </c>
      <c r="H51" t="s">
        <v>39</v>
      </c>
      <c r="I51">
        <v>0.98599999999999999</v>
      </c>
      <c r="J51" t="s">
        <v>40</v>
      </c>
      <c r="K51">
        <v>0.98599999999999999</v>
      </c>
      <c r="L51">
        <v>7388.12</v>
      </c>
      <c r="M51" t="s">
        <v>40</v>
      </c>
      <c r="N51">
        <v>7388.12</v>
      </c>
      <c r="O51">
        <v>0.92</v>
      </c>
      <c r="P51">
        <v>934.58</v>
      </c>
      <c r="Q51">
        <v>0.12</v>
      </c>
      <c r="R51">
        <v>0</v>
      </c>
      <c r="S51" t="s">
        <v>40</v>
      </c>
      <c r="T51">
        <v>80</v>
      </c>
      <c r="U51">
        <v>30</v>
      </c>
      <c r="V51">
        <v>16</v>
      </c>
      <c r="W51">
        <v>24</v>
      </c>
      <c r="X51">
        <v>0</v>
      </c>
      <c r="Y51">
        <v>1</v>
      </c>
      <c r="Z51">
        <v>0</v>
      </c>
      <c r="AA51" t="s">
        <v>41</v>
      </c>
      <c r="AB51" t="s">
        <v>41</v>
      </c>
    </row>
    <row r="52" spans="1:35" x14ac:dyDescent="0.25">
      <c r="A52" s="1">
        <v>45957.763194444444</v>
      </c>
      <c r="B52" t="s">
        <v>35</v>
      </c>
      <c r="C52">
        <v>8.9</v>
      </c>
      <c r="D52">
        <v>128</v>
      </c>
      <c r="E52" t="s">
        <v>43</v>
      </c>
      <c r="F52" t="s">
        <v>46</v>
      </c>
      <c r="G52" t="s">
        <v>38</v>
      </c>
      <c r="H52" t="s">
        <v>39</v>
      </c>
      <c r="I52">
        <v>2.069</v>
      </c>
      <c r="J52" t="s">
        <v>40</v>
      </c>
      <c r="K52">
        <v>2.069</v>
      </c>
      <c r="L52">
        <v>15867.857</v>
      </c>
      <c r="M52" t="s">
        <v>40</v>
      </c>
      <c r="N52">
        <v>15867.857</v>
      </c>
      <c r="O52">
        <v>2.0699999999999998</v>
      </c>
      <c r="P52">
        <v>1002.03</v>
      </c>
      <c r="Q52">
        <v>0.13</v>
      </c>
      <c r="R52">
        <v>0</v>
      </c>
      <c r="S52" t="s">
        <v>40</v>
      </c>
      <c r="T52">
        <v>120</v>
      </c>
      <c r="U52">
        <v>45</v>
      </c>
      <c r="V52">
        <v>16</v>
      </c>
      <c r="W52">
        <v>24</v>
      </c>
      <c r="X52">
        <v>0</v>
      </c>
      <c r="Y52">
        <v>1</v>
      </c>
      <c r="Z52">
        <v>0</v>
      </c>
      <c r="AA52" t="s">
        <v>41</v>
      </c>
      <c r="AB52" t="s">
        <v>41</v>
      </c>
      <c r="AC52">
        <f t="shared" ref="AC52" si="56">AVERAGE(I52:I56)</f>
        <v>2.1856</v>
      </c>
      <c r="AD52">
        <f t="shared" ref="AD52" si="57">_xlfn.STDEV.S(I52:I56)</f>
        <v>0.25516915957850017</v>
      </c>
      <c r="AE52" t="str">
        <f t="shared" ref="AE52" si="58">TEXT(AC52,"0.000") &amp; " ± " &amp; TEXT(AD52,"0.000")</f>
        <v>2.186 ± 0.255</v>
      </c>
      <c r="AF52">
        <f t="shared" ref="AF52" si="59">AVERAGE(L52:L56)</f>
        <v>16241.939600000002</v>
      </c>
      <c r="AG52">
        <f t="shared" ref="AG52" si="60">_xlfn.STDEV.S(L52:L56)</f>
        <v>368.39906245239001</v>
      </c>
      <c r="AH52" t="str">
        <f t="shared" ref="AH52" si="61">TEXT(AF52,"0.0") &amp; " ± " &amp; TEXT(AG52,"0.0")</f>
        <v>16241.9 ± 368.4</v>
      </c>
      <c r="AI52">
        <f t="shared" ref="AI52" si="62">ROUND(AF52/AC52,1)</f>
        <v>7431.3</v>
      </c>
    </row>
    <row r="53" spans="1:35" x14ac:dyDescent="0.25">
      <c r="A53" s="1">
        <v>45957.763888888891</v>
      </c>
      <c r="B53" t="s">
        <v>35</v>
      </c>
      <c r="C53">
        <v>8.9</v>
      </c>
      <c r="D53">
        <v>128</v>
      </c>
      <c r="E53" t="s">
        <v>43</v>
      </c>
      <c r="F53" t="s">
        <v>46</v>
      </c>
      <c r="G53" t="s">
        <v>38</v>
      </c>
      <c r="H53" t="s">
        <v>39</v>
      </c>
      <c r="I53">
        <v>2.0659999999999998</v>
      </c>
      <c r="J53" t="s">
        <v>40</v>
      </c>
      <c r="K53">
        <v>2.0659999999999998</v>
      </c>
      <c r="L53">
        <v>15814.031000000001</v>
      </c>
      <c r="M53" t="s">
        <v>40</v>
      </c>
      <c r="N53">
        <v>15814.031000000001</v>
      </c>
      <c r="O53">
        <v>2.0699999999999998</v>
      </c>
      <c r="P53">
        <v>1003.47</v>
      </c>
      <c r="Q53">
        <v>0.13</v>
      </c>
      <c r="R53">
        <v>0</v>
      </c>
      <c r="S53" t="s">
        <v>40</v>
      </c>
      <c r="T53">
        <v>120</v>
      </c>
      <c r="U53">
        <v>45</v>
      </c>
      <c r="V53">
        <v>16</v>
      </c>
      <c r="W53">
        <v>24</v>
      </c>
      <c r="X53">
        <v>0</v>
      </c>
      <c r="Y53">
        <v>1</v>
      </c>
      <c r="Z53">
        <v>0</v>
      </c>
      <c r="AA53" t="s">
        <v>41</v>
      </c>
      <c r="AB53" t="s">
        <v>41</v>
      </c>
    </row>
    <row r="54" spans="1:35" x14ac:dyDescent="0.25">
      <c r="A54" s="1">
        <v>45957.763888888891</v>
      </c>
      <c r="B54" t="s">
        <v>35</v>
      </c>
      <c r="C54">
        <v>8.9</v>
      </c>
      <c r="D54">
        <v>128</v>
      </c>
      <c r="E54" t="s">
        <v>43</v>
      </c>
      <c r="F54" t="s">
        <v>46</v>
      </c>
      <c r="G54" t="s">
        <v>38</v>
      </c>
      <c r="H54" t="s">
        <v>39</v>
      </c>
      <c r="I54">
        <v>2.0760000000000001</v>
      </c>
      <c r="J54" t="s">
        <v>40</v>
      </c>
      <c r="K54">
        <v>2.0760000000000001</v>
      </c>
      <c r="L54">
        <v>16510.409</v>
      </c>
      <c r="M54" t="s">
        <v>40</v>
      </c>
      <c r="N54">
        <v>16510.409</v>
      </c>
      <c r="O54">
        <v>2.0699999999999998</v>
      </c>
      <c r="P54">
        <v>998.67</v>
      </c>
      <c r="Q54">
        <v>0.13</v>
      </c>
      <c r="R54">
        <v>0</v>
      </c>
      <c r="S54" t="s">
        <v>40</v>
      </c>
      <c r="T54">
        <v>120</v>
      </c>
      <c r="U54">
        <v>45</v>
      </c>
      <c r="V54">
        <v>16</v>
      </c>
      <c r="W54">
        <v>24</v>
      </c>
      <c r="X54">
        <v>0</v>
      </c>
      <c r="Y54">
        <v>1</v>
      </c>
      <c r="Z54">
        <v>0</v>
      </c>
      <c r="AA54" t="s">
        <v>41</v>
      </c>
      <c r="AB54" t="s">
        <v>41</v>
      </c>
    </row>
    <row r="55" spans="1:35" x14ac:dyDescent="0.25">
      <c r="A55" s="1">
        <v>45957.76458333333</v>
      </c>
      <c r="B55" t="s">
        <v>35</v>
      </c>
      <c r="C55">
        <v>8.9</v>
      </c>
      <c r="D55">
        <v>128</v>
      </c>
      <c r="E55" t="s">
        <v>43</v>
      </c>
      <c r="F55" t="s">
        <v>46</v>
      </c>
      <c r="G55" t="s">
        <v>38</v>
      </c>
      <c r="H55" t="s">
        <v>39</v>
      </c>
      <c r="I55">
        <v>2.6419999999999999</v>
      </c>
      <c r="J55" t="s">
        <v>40</v>
      </c>
      <c r="K55">
        <v>2.6419999999999999</v>
      </c>
      <c r="L55">
        <v>16560.803</v>
      </c>
      <c r="M55" t="s">
        <v>40</v>
      </c>
      <c r="N55">
        <v>16560.803</v>
      </c>
      <c r="O55">
        <v>2.0699999999999998</v>
      </c>
      <c r="P55">
        <v>784.89</v>
      </c>
      <c r="Q55">
        <v>0.13</v>
      </c>
      <c r="R55">
        <v>0</v>
      </c>
      <c r="S55" t="s">
        <v>40</v>
      </c>
      <c r="T55">
        <v>120</v>
      </c>
      <c r="U55">
        <v>45</v>
      </c>
      <c r="V55">
        <v>16</v>
      </c>
      <c r="W55">
        <v>24</v>
      </c>
      <c r="X55">
        <v>0</v>
      </c>
      <c r="Y55">
        <v>1</v>
      </c>
      <c r="Z55">
        <v>0</v>
      </c>
      <c r="AA55" t="s">
        <v>41</v>
      </c>
      <c r="AB55" t="s">
        <v>41</v>
      </c>
    </row>
    <row r="56" spans="1:35" x14ac:dyDescent="0.25">
      <c r="A56" s="1">
        <v>45957.765277777777</v>
      </c>
      <c r="B56" t="s">
        <v>35</v>
      </c>
      <c r="C56">
        <v>8.9</v>
      </c>
      <c r="D56">
        <v>128</v>
      </c>
      <c r="E56" t="s">
        <v>43</v>
      </c>
      <c r="F56" t="s">
        <v>46</v>
      </c>
      <c r="G56" t="s">
        <v>38</v>
      </c>
      <c r="H56" t="s">
        <v>39</v>
      </c>
      <c r="I56">
        <v>2.0750000000000002</v>
      </c>
      <c r="J56" t="s">
        <v>40</v>
      </c>
      <c r="K56">
        <v>2.0750000000000002</v>
      </c>
      <c r="L56">
        <v>16456.598000000002</v>
      </c>
      <c r="M56" t="s">
        <v>40</v>
      </c>
      <c r="N56">
        <v>16456.598000000002</v>
      </c>
      <c r="O56">
        <v>2.0699999999999998</v>
      </c>
      <c r="P56">
        <v>999.51</v>
      </c>
      <c r="Q56">
        <v>0.13</v>
      </c>
      <c r="R56">
        <v>0</v>
      </c>
      <c r="S56" t="s">
        <v>40</v>
      </c>
      <c r="T56">
        <v>120</v>
      </c>
      <c r="U56">
        <v>45</v>
      </c>
      <c r="V56">
        <v>16</v>
      </c>
      <c r="W56">
        <v>24</v>
      </c>
      <c r="X56">
        <v>0</v>
      </c>
      <c r="Y56">
        <v>1</v>
      </c>
      <c r="Z56">
        <v>0</v>
      </c>
      <c r="AA56" t="s">
        <v>41</v>
      </c>
      <c r="AB56" t="s">
        <v>41</v>
      </c>
    </row>
    <row r="57" spans="1:35" x14ac:dyDescent="0.25">
      <c r="A57" s="1">
        <v>45957.765972222223</v>
      </c>
      <c r="B57" t="s">
        <v>35</v>
      </c>
      <c r="C57">
        <v>8.9</v>
      </c>
      <c r="D57">
        <v>128</v>
      </c>
      <c r="E57" t="s">
        <v>44</v>
      </c>
      <c r="F57" t="s">
        <v>46</v>
      </c>
      <c r="G57" t="s">
        <v>38</v>
      </c>
      <c r="H57" t="s">
        <v>39</v>
      </c>
      <c r="I57">
        <v>8.4380000000000006</v>
      </c>
      <c r="J57" t="s">
        <v>40</v>
      </c>
      <c r="K57">
        <v>8.4380000000000006</v>
      </c>
      <c r="L57">
        <v>66086.823000000004</v>
      </c>
      <c r="M57" t="s">
        <v>40</v>
      </c>
      <c r="N57">
        <v>66086.823000000004</v>
      </c>
      <c r="O57">
        <v>8.2899999999999991</v>
      </c>
      <c r="P57">
        <v>983.01</v>
      </c>
      <c r="Q57">
        <v>0.13</v>
      </c>
      <c r="R57">
        <v>0</v>
      </c>
      <c r="S57" t="s">
        <v>40</v>
      </c>
      <c r="T57">
        <v>240</v>
      </c>
      <c r="U57">
        <v>90</v>
      </c>
      <c r="V57">
        <v>16</v>
      </c>
      <c r="W57">
        <v>24</v>
      </c>
      <c r="X57">
        <v>0</v>
      </c>
      <c r="Y57">
        <v>1</v>
      </c>
      <c r="Z57">
        <v>0</v>
      </c>
      <c r="AA57" t="s">
        <v>41</v>
      </c>
      <c r="AB57" t="s">
        <v>41</v>
      </c>
      <c r="AC57">
        <f t="shared" ref="AC57" si="63">AVERAGE(I57:I61)</f>
        <v>8.4573999999999998</v>
      </c>
      <c r="AD57">
        <f t="shared" ref="AD57" si="64">_xlfn.STDEV.S(I57:I61)</f>
        <v>6.6552986409326678E-2</v>
      </c>
      <c r="AE57" t="str">
        <f t="shared" ref="AE57" si="65">TEXT(AC57,"0.000") &amp; " ± " &amp; TEXT(AD57,"0.000")</f>
        <v>8.457 ± 0.067</v>
      </c>
      <c r="AF57">
        <f t="shared" ref="AF57" si="66">AVERAGE(L57:L61)</f>
        <v>65308.434400000006</v>
      </c>
      <c r="AG57">
        <f t="shared" ref="AG57" si="67">_xlfn.STDEV.S(L57:L61)</f>
        <v>1249.4587474469893</v>
      </c>
      <c r="AH57" t="str">
        <f t="shared" ref="AH57" si="68">TEXT(AF57,"0.0") &amp; " ± " &amp; TEXT(AG57,"0.0")</f>
        <v>65308.4 ± 1249.5</v>
      </c>
      <c r="AI57">
        <f t="shared" ref="AI57" si="69">ROUND(AF57/AC57,1)</f>
        <v>7722</v>
      </c>
    </row>
    <row r="58" spans="1:35" x14ac:dyDescent="0.25">
      <c r="A58" s="1">
        <v>45957.767361111109</v>
      </c>
      <c r="B58" t="s">
        <v>35</v>
      </c>
      <c r="C58">
        <v>8.9</v>
      </c>
      <c r="D58">
        <v>128</v>
      </c>
      <c r="E58" t="s">
        <v>44</v>
      </c>
      <c r="F58" t="s">
        <v>46</v>
      </c>
      <c r="G58" t="s">
        <v>38</v>
      </c>
      <c r="H58" t="s">
        <v>39</v>
      </c>
      <c r="I58">
        <v>8.4359999999999999</v>
      </c>
      <c r="J58" t="s">
        <v>40</v>
      </c>
      <c r="K58">
        <v>8.4359999999999999</v>
      </c>
      <c r="L58">
        <v>65787.672000000006</v>
      </c>
      <c r="M58" t="s">
        <v>40</v>
      </c>
      <c r="N58">
        <v>65787.672000000006</v>
      </c>
      <c r="O58">
        <v>8.2899999999999991</v>
      </c>
      <c r="P58">
        <v>983.25</v>
      </c>
      <c r="Q58">
        <v>0.13</v>
      </c>
      <c r="R58">
        <v>0</v>
      </c>
      <c r="S58" t="s">
        <v>40</v>
      </c>
      <c r="T58">
        <v>240</v>
      </c>
      <c r="U58">
        <v>90</v>
      </c>
      <c r="V58">
        <v>16</v>
      </c>
      <c r="W58">
        <v>24</v>
      </c>
      <c r="X58">
        <v>0</v>
      </c>
      <c r="Y58">
        <v>1</v>
      </c>
      <c r="Z58">
        <v>0</v>
      </c>
      <c r="AA58" t="s">
        <v>41</v>
      </c>
      <c r="AB58" t="s">
        <v>41</v>
      </c>
    </row>
    <row r="59" spans="1:35" x14ac:dyDescent="0.25">
      <c r="A59" s="1">
        <v>45957.768750000003</v>
      </c>
      <c r="B59" t="s">
        <v>35</v>
      </c>
      <c r="C59">
        <v>8.9</v>
      </c>
      <c r="D59">
        <v>128</v>
      </c>
      <c r="E59" t="s">
        <v>44</v>
      </c>
      <c r="F59" t="s">
        <v>46</v>
      </c>
      <c r="G59" t="s">
        <v>38</v>
      </c>
      <c r="H59" t="s">
        <v>39</v>
      </c>
      <c r="I59">
        <v>8.4009999999999998</v>
      </c>
      <c r="J59" t="s">
        <v>40</v>
      </c>
      <c r="K59">
        <v>8.4009999999999998</v>
      </c>
      <c r="L59">
        <v>65731.057000000001</v>
      </c>
      <c r="M59" t="s">
        <v>40</v>
      </c>
      <c r="N59">
        <v>65731.057000000001</v>
      </c>
      <c r="O59">
        <v>8.2899999999999991</v>
      </c>
      <c r="P59">
        <v>987.32</v>
      </c>
      <c r="Q59">
        <v>0.13</v>
      </c>
      <c r="R59">
        <v>0</v>
      </c>
      <c r="S59" t="s">
        <v>40</v>
      </c>
      <c r="T59">
        <v>240</v>
      </c>
      <c r="U59">
        <v>90</v>
      </c>
      <c r="V59">
        <v>16</v>
      </c>
      <c r="W59">
        <v>24</v>
      </c>
      <c r="X59">
        <v>0</v>
      </c>
      <c r="Y59">
        <v>1</v>
      </c>
      <c r="Z59">
        <v>0</v>
      </c>
      <c r="AA59" t="s">
        <v>41</v>
      </c>
      <c r="AB59" t="s">
        <v>41</v>
      </c>
    </row>
    <row r="60" spans="1:35" x14ac:dyDescent="0.25">
      <c r="A60" s="1">
        <v>45957.769444444442</v>
      </c>
      <c r="B60" t="s">
        <v>35</v>
      </c>
      <c r="C60">
        <v>8.9</v>
      </c>
      <c r="D60">
        <v>128</v>
      </c>
      <c r="E60" t="s">
        <v>44</v>
      </c>
      <c r="F60" t="s">
        <v>46</v>
      </c>
      <c r="G60" t="s">
        <v>38</v>
      </c>
      <c r="H60" t="s">
        <v>39</v>
      </c>
      <c r="I60">
        <v>8.5730000000000004</v>
      </c>
      <c r="J60" t="s">
        <v>40</v>
      </c>
      <c r="K60">
        <v>8.5730000000000004</v>
      </c>
      <c r="L60">
        <v>63086.499000000003</v>
      </c>
      <c r="M60" t="s">
        <v>40</v>
      </c>
      <c r="N60">
        <v>63086.499000000003</v>
      </c>
      <c r="O60">
        <v>8.2899999999999991</v>
      </c>
      <c r="P60">
        <v>967.51</v>
      </c>
      <c r="Q60">
        <v>0.13</v>
      </c>
      <c r="R60">
        <v>0</v>
      </c>
      <c r="S60" t="s">
        <v>40</v>
      </c>
      <c r="T60">
        <v>240</v>
      </c>
      <c r="U60">
        <v>90</v>
      </c>
      <c r="V60">
        <v>16</v>
      </c>
      <c r="W60">
        <v>24</v>
      </c>
      <c r="X60">
        <v>0</v>
      </c>
      <c r="Y60">
        <v>1</v>
      </c>
      <c r="Z60">
        <v>0</v>
      </c>
      <c r="AA60" t="s">
        <v>41</v>
      </c>
      <c r="AB60" t="s">
        <v>41</v>
      </c>
    </row>
    <row r="61" spans="1:35" x14ac:dyDescent="0.25">
      <c r="A61" s="1">
        <v>45957.770833333336</v>
      </c>
      <c r="B61" t="s">
        <v>35</v>
      </c>
      <c r="C61">
        <v>8.9</v>
      </c>
      <c r="D61">
        <v>128</v>
      </c>
      <c r="E61" t="s">
        <v>44</v>
      </c>
      <c r="F61" t="s">
        <v>46</v>
      </c>
      <c r="G61" t="s">
        <v>38</v>
      </c>
      <c r="H61" t="s">
        <v>39</v>
      </c>
      <c r="I61">
        <v>8.4390000000000001</v>
      </c>
      <c r="J61" t="s">
        <v>40</v>
      </c>
      <c r="K61">
        <v>8.4390000000000001</v>
      </c>
      <c r="L61">
        <v>65850.120999999999</v>
      </c>
      <c r="M61" t="s">
        <v>40</v>
      </c>
      <c r="N61">
        <v>65850.120999999999</v>
      </c>
      <c r="O61">
        <v>8.2899999999999991</v>
      </c>
      <c r="P61">
        <v>982.89</v>
      </c>
      <c r="Q61">
        <v>0.13</v>
      </c>
      <c r="R61">
        <v>0</v>
      </c>
      <c r="S61" t="s">
        <v>40</v>
      </c>
      <c r="T61">
        <v>240</v>
      </c>
      <c r="U61">
        <v>90</v>
      </c>
      <c r="V61">
        <v>16</v>
      </c>
      <c r="W61">
        <v>24</v>
      </c>
      <c r="X61">
        <v>0</v>
      </c>
      <c r="Y61">
        <v>1</v>
      </c>
      <c r="Z61">
        <v>0</v>
      </c>
      <c r="AA61" t="s">
        <v>41</v>
      </c>
      <c r="AB61" t="s">
        <v>41</v>
      </c>
    </row>
    <row r="62" spans="1:35" x14ac:dyDescent="0.25">
      <c r="A62" s="1">
        <v>45957.772916666669</v>
      </c>
      <c r="B62" t="s">
        <v>35</v>
      </c>
      <c r="C62">
        <v>8.9</v>
      </c>
      <c r="D62">
        <v>128</v>
      </c>
      <c r="E62" t="s">
        <v>36</v>
      </c>
      <c r="F62" t="s">
        <v>47</v>
      </c>
      <c r="G62" t="s">
        <v>38</v>
      </c>
      <c r="H62" t="s">
        <v>39</v>
      </c>
      <c r="I62">
        <v>1.6240000000000001</v>
      </c>
      <c r="J62" t="s">
        <v>40</v>
      </c>
      <c r="K62">
        <v>1.6240000000000001</v>
      </c>
      <c r="L62">
        <v>3103.1889999999999</v>
      </c>
      <c r="M62" t="s">
        <v>40</v>
      </c>
      <c r="N62">
        <v>3103.1889999999999</v>
      </c>
      <c r="O62">
        <v>0.31</v>
      </c>
      <c r="P62">
        <v>189.18</v>
      </c>
      <c r="Q62">
        <v>0.1</v>
      </c>
      <c r="R62">
        <v>0</v>
      </c>
      <c r="S62" t="s">
        <v>40</v>
      </c>
      <c r="T62">
        <v>40</v>
      </c>
      <c r="U62">
        <v>20</v>
      </c>
      <c r="V62">
        <v>16</v>
      </c>
      <c r="W62">
        <v>24</v>
      </c>
      <c r="X62">
        <v>0</v>
      </c>
      <c r="Y62">
        <v>1</v>
      </c>
      <c r="Z62">
        <v>0</v>
      </c>
      <c r="AA62" t="s">
        <v>41</v>
      </c>
      <c r="AB62" t="s">
        <v>41</v>
      </c>
      <c r="AC62">
        <f t="shared" ref="AC62" si="70">AVERAGE(I62:I66)</f>
        <v>1.7753999999999999</v>
      </c>
      <c r="AD62">
        <f t="shared" ref="AD62" si="71">_xlfn.STDEV.S(I62:I66)</f>
        <v>0.20511898985710991</v>
      </c>
      <c r="AE62" t="str">
        <f t="shared" ref="AE62" si="72">TEXT(AC62,"0.000") &amp; " ± " &amp; TEXT(AD62,"0.000")</f>
        <v>1.775 ± 0.205</v>
      </c>
      <c r="AF62">
        <f t="shared" ref="AF62" si="73">AVERAGE(L62:L66)</f>
        <v>3199.4057999999995</v>
      </c>
      <c r="AG62">
        <f t="shared" ref="AG62" si="74">_xlfn.STDEV.S(L62:L66)</f>
        <v>55.064537033375778</v>
      </c>
      <c r="AH62" t="str">
        <f t="shared" ref="AH62" si="75">TEXT(AF62,"0.0") &amp; " ± " &amp; TEXT(AG62,"0.0")</f>
        <v>3199.4 ± 55.1</v>
      </c>
      <c r="AI62">
        <f t="shared" ref="AI62" si="76">ROUND(AF62/AC62,1)</f>
        <v>1802.1</v>
      </c>
    </row>
    <row r="63" spans="1:35" x14ac:dyDescent="0.25">
      <c r="A63" s="1">
        <v>45957.772916666669</v>
      </c>
      <c r="B63" t="s">
        <v>35</v>
      </c>
      <c r="C63">
        <v>8.9</v>
      </c>
      <c r="D63">
        <v>128</v>
      </c>
      <c r="E63" t="s">
        <v>36</v>
      </c>
      <c r="F63" t="s">
        <v>47</v>
      </c>
      <c r="G63" t="s">
        <v>38</v>
      </c>
      <c r="H63" t="s">
        <v>39</v>
      </c>
      <c r="I63">
        <v>1.629</v>
      </c>
      <c r="J63" t="s">
        <v>40</v>
      </c>
      <c r="K63">
        <v>1.629</v>
      </c>
      <c r="L63">
        <v>3243.28</v>
      </c>
      <c r="M63" t="s">
        <v>40</v>
      </c>
      <c r="N63">
        <v>3243.28</v>
      </c>
      <c r="O63">
        <v>0.31</v>
      </c>
      <c r="P63">
        <v>188.56</v>
      </c>
      <c r="Q63">
        <v>0.09</v>
      </c>
      <c r="R63">
        <v>0</v>
      </c>
      <c r="S63" t="s">
        <v>40</v>
      </c>
      <c r="T63">
        <v>40</v>
      </c>
      <c r="U63">
        <v>20</v>
      </c>
      <c r="V63">
        <v>16</v>
      </c>
      <c r="W63">
        <v>24</v>
      </c>
      <c r="X63">
        <v>0</v>
      </c>
      <c r="Y63">
        <v>1</v>
      </c>
      <c r="Z63">
        <v>0</v>
      </c>
      <c r="AA63" t="s">
        <v>41</v>
      </c>
      <c r="AB63" t="s">
        <v>41</v>
      </c>
    </row>
    <row r="64" spans="1:35" x14ac:dyDescent="0.25">
      <c r="A64" s="1">
        <v>45957.772916666669</v>
      </c>
      <c r="B64" t="s">
        <v>35</v>
      </c>
      <c r="C64">
        <v>8.9</v>
      </c>
      <c r="D64">
        <v>128</v>
      </c>
      <c r="E64" t="s">
        <v>36</v>
      </c>
      <c r="F64" t="s">
        <v>47</v>
      </c>
      <c r="G64" t="s">
        <v>38</v>
      </c>
      <c r="H64" t="s">
        <v>39</v>
      </c>
      <c r="I64">
        <v>2.008</v>
      </c>
      <c r="J64" t="s">
        <v>40</v>
      </c>
      <c r="K64">
        <v>2.008</v>
      </c>
      <c r="L64">
        <v>3221.1350000000002</v>
      </c>
      <c r="M64" t="s">
        <v>40</v>
      </c>
      <c r="N64">
        <v>3221.1350000000002</v>
      </c>
      <c r="O64">
        <v>0.31</v>
      </c>
      <c r="P64">
        <v>152.97999999999999</v>
      </c>
      <c r="Q64">
        <v>0.1</v>
      </c>
      <c r="R64">
        <v>0</v>
      </c>
      <c r="S64" t="s">
        <v>40</v>
      </c>
      <c r="T64">
        <v>40</v>
      </c>
      <c r="U64">
        <v>20</v>
      </c>
      <c r="V64">
        <v>16</v>
      </c>
      <c r="W64">
        <v>24</v>
      </c>
      <c r="X64">
        <v>0</v>
      </c>
      <c r="Y64">
        <v>1</v>
      </c>
      <c r="Z64">
        <v>0</v>
      </c>
      <c r="AA64" t="s">
        <v>41</v>
      </c>
      <c r="AB64" t="s">
        <v>41</v>
      </c>
    </row>
    <row r="65" spans="1:35" x14ac:dyDescent="0.25">
      <c r="A65" s="1">
        <v>45957.772916666669</v>
      </c>
      <c r="B65" t="s">
        <v>35</v>
      </c>
      <c r="C65">
        <v>8.9</v>
      </c>
      <c r="D65">
        <v>128</v>
      </c>
      <c r="E65" t="s">
        <v>36</v>
      </c>
      <c r="F65" t="s">
        <v>47</v>
      </c>
      <c r="G65" t="s">
        <v>38</v>
      </c>
      <c r="H65" t="s">
        <v>39</v>
      </c>
      <c r="I65">
        <v>1.6240000000000001</v>
      </c>
      <c r="J65" t="s">
        <v>40</v>
      </c>
      <c r="K65">
        <v>1.6240000000000001</v>
      </c>
      <c r="L65">
        <v>3213.1239999999998</v>
      </c>
      <c r="M65" t="s">
        <v>40</v>
      </c>
      <c r="N65">
        <v>3213.1239999999998</v>
      </c>
      <c r="O65">
        <v>0.31</v>
      </c>
      <c r="P65">
        <v>189.16</v>
      </c>
      <c r="Q65">
        <v>0.1</v>
      </c>
      <c r="R65">
        <v>0</v>
      </c>
      <c r="S65" t="s">
        <v>40</v>
      </c>
      <c r="T65">
        <v>40</v>
      </c>
      <c r="U65">
        <v>20</v>
      </c>
      <c r="V65">
        <v>16</v>
      </c>
      <c r="W65">
        <v>24</v>
      </c>
      <c r="X65">
        <v>0</v>
      </c>
      <c r="Y65">
        <v>1</v>
      </c>
      <c r="Z65">
        <v>0</v>
      </c>
      <c r="AA65" t="s">
        <v>41</v>
      </c>
      <c r="AB65" t="s">
        <v>41</v>
      </c>
    </row>
    <row r="66" spans="1:35" x14ac:dyDescent="0.25">
      <c r="A66" s="1">
        <v>45957.772916666669</v>
      </c>
      <c r="B66" t="s">
        <v>35</v>
      </c>
      <c r="C66">
        <v>8.9</v>
      </c>
      <c r="D66">
        <v>128</v>
      </c>
      <c r="E66" t="s">
        <v>36</v>
      </c>
      <c r="F66" t="s">
        <v>47</v>
      </c>
      <c r="G66" t="s">
        <v>38</v>
      </c>
      <c r="H66" t="s">
        <v>39</v>
      </c>
      <c r="I66">
        <v>1.992</v>
      </c>
      <c r="J66" t="s">
        <v>40</v>
      </c>
      <c r="K66">
        <v>1.992</v>
      </c>
      <c r="L66">
        <v>3216.3009999999999</v>
      </c>
      <c r="M66" t="s">
        <v>40</v>
      </c>
      <c r="N66">
        <v>3216.3009999999999</v>
      </c>
      <c r="O66">
        <v>0.31</v>
      </c>
      <c r="P66">
        <v>154.19</v>
      </c>
      <c r="Q66">
        <v>0.1</v>
      </c>
      <c r="R66">
        <v>0</v>
      </c>
      <c r="S66" t="s">
        <v>40</v>
      </c>
      <c r="T66">
        <v>40</v>
      </c>
      <c r="U66">
        <v>20</v>
      </c>
      <c r="V66">
        <v>16</v>
      </c>
      <c r="W66">
        <v>24</v>
      </c>
      <c r="X66">
        <v>0</v>
      </c>
      <c r="Y66">
        <v>1</v>
      </c>
      <c r="Z66">
        <v>0</v>
      </c>
      <c r="AA66" t="s">
        <v>41</v>
      </c>
      <c r="AB66" t="s">
        <v>41</v>
      </c>
    </row>
    <row r="67" spans="1:35" x14ac:dyDescent="0.25">
      <c r="A67" s="1">
        <v>45957.773611111108</v>
      </c>
      <c r="B67" t="s">
        <v>35</v>
      </c>
      <c r="C67">
        <v>8.9</v>
      </c>
      <c r="D67">
        <v>128</v>
      </c>
      <c r="E67" t="s">
        <v>42</v>
      </c>
      <c r="F67" t="s">
        <v>47</v>
      </c>
      <c r="G67" t="s">
        <v>38</v>
      </c>
      <c r="H67" t="s">
        <v>39</v>
      </c>
      <c r="I67">
        <v>2.4089999999999998</v>
      </c>
      <c r="J67" t="s">
        <v>40</v>
      </c>
      <c r="K67">
        <v>2.4089999999999998</v>
      </c>
      <c r="L67">
        <v>8583.5939999999991</v>
      </c>
      <c r="M67" t="s">
        <v>40</v>
      </c>
      <c r="N67">
        <v>8583.5939999999991</v>
      </c>
      <c r="O67">
        <v>0.92</v>
      </c>
      <c r="P67">
        <v>382.49</v>
      </c>
      <c r="Q67">
        <v>0.11</v>
      </c>
      <c r="R67">
        <v>0</v>
      </c>
      <c r="S67" t="s">
        <v>40</v>
      </c>
      <c r="T67">
        <v>80</v>
      </c>
      <c r="U67">
        <v>30</v>
      </c>
      <c r="V67">
        <v>16</v>
      </c>
      <c r="W67">
        <v>24</v>
      </c>
      <c r="X67">
        <v>0</v>
      </c>
      <c r="Y67">
        <v>1</v>
      </c>
      <c r="Z67">
        <v>0</v>
      </c>
      <c r="AA67" t="s">
        <v>41</v>
      </c>
      <c r="AB67" t="s">
        <v>41</v>
      </c>
      <c r="AC67">
        <f t="shared" ref="AC67" si="77">AVERAGE(I67:I71)</f>
        <v>1.966</v>
      </c>
      <c r="AD67">
        <f t="shared" ref="AD67" si="78">_xlfn.STDEV.S(I67:I71)</f>
        <v>0.2476620681493221</v>
      </c>
      <c r="AE67" t="str">
        <f t="shared" ref="AE67" si="79">TEXT(AC67,"0.000") &amp; " ± " &amp; TEXT(AD67,"0.000")</f>
        <v>1.966 ± 0.248</v>
      </c>
      <c r="AF67">
        <f t="shared" ref="AF67" si="80">AVERAGE(L67:L71)</f>
        <v>8545.0185999999994</v>
      </c>
      <c r="AG67">
        <f t="shared" ref="AG67" si="81">_xlfn.STDEV.S(L67:L71)</f>
        <v>140.19598713871918</v>
      </c>
      <c r="AH67" t="str">
        <f t="shared" ref="AH67" si="82">TEXT(AF67,"0.0") &amp; " ± " &amp; TEXT(AG67,"0.0")</f>
        <v>8545.0 ± 140.2</v>
      </c>
      <c r="AI67">
        <f t="shared" ref="AI67" si="83">ROUND(AF67/AC67,1)</f>
        <v>4346.3999999999996</v>
      </c>
    </row>
    <row r="68" spans="1:35" x14ac:dyDescent="0.25">
      <c r="A68" s="1">
        <v>45957.773611111108</v>
      </c>
      <c r="B68" t="s">
        <v>35</v>
      </c>
      <c r="C68">
        <v>8.9</v>
      </c>
      <c r="D68">
        <v>128</v>
      </c>
      <c r="E68" t="s">
        <v>42</v>
      </c>
      <c r="F68" t="s">
        <v>47</v>
      </c>
      <c r="G68" t="s">
        <v>38</v>
      </c>
      <c r="H68" t="s">
        <v>39</v>
      </c>
      <c r="I68">
        <v>1.8540000000000001</v>
      </c>
      <c r="J68" t="s">
        <v>40</v>
      </c>
      <c r="K68">
        <v>1.8540000000000001</v>
      </c>
      <c r="L68">
        <v>8608.4680000000008</v>
      </c>
      <c r="M68" t="s">
        <v>40</v>
      </c>
      <c r="N68">
        <v>8608.4680000000008</v>
      </c>
      <c r="O68">
        <v>0.92</v>
      </c>
      <c r="P68">
        <v>496.96</v>
      </c>
      <c r="Q68">
        <v>0.11</v>
      </c>
      <c r="R68">
        <v>0</v>
      </c>
      <c r="S68" t="s">
        <v>40</v>
      </c>
      <c r="T68">
        <v>80</v>
      </c>
      <c r="U68">
        <v>30</v>
      </c>
      <c r="V68">
        <v>16</v>
      </c>
      <c r="W68">
        <v>24</v>
      </c>
      <c r="X68">
        <v>0</v>
      </c>
      <c r="Y68">
        <v>1</v>
      </c>
      <c r="Z68">
        <v>0</v>
      </c>
      <c r="AA68" t="s">
        <v>41</v>
      </c>
      <c r="AB68" t="s">
        <v>41</v>
      </c>
    </row>
    <row r="69" spans="1:35" x14ac:dyDescent="0.25">
      <c r="A69" s="1">
        <v>45957.774305555555</v>
      </c>
      <c r="B69" t="s">
        <v>35</v>
      </c>
      <c r="C69">
        <v>8.9</v>
      </c>
      <c r="D69">
        <v>128</v>
      </c>
      <c r="E69" t="s">
        <v>42</v>
      </c>
      <c r="F69" t="s">
        <v>47</v>
      </c>
      <c r="G69" t="s">
        <v>38</v>
      </c>
      <c r="H69" t="s">
        <v>39</v>
      </c>
      <c r="I69">
        <v>1.8520000000000001</v>
      </c>
      <c r="J69" t="s">
        <v>40</v>
      </c>
      <c r="K69">
        <v>1.8520000000000001</v>
      </c>
      <c r="L69">
        <v>8302.6820000000007</v>
      </c>
      <c r="M69" t="s">
        <v>40</v>
      </c>
      <c r="N69">
        <v>8302.6820000000007</v>
      </c>
      <c r="O69">
        <v>0.92</v>
      </c>
      <c r="P69">
        <v>497.51</v>
      </c>
      <c r="Q69">
        <v>0.11</v>
      </c>
      <c r="R69">
        <v>0</v>
      </c>
      <c r="S69" t="s">
        <v>40</v>
      </c>
      <c r="T69">
        <v>80</v>
      </c>
      <c r="U69">
        <v>30</v>
      </c>
      <c r="V69">
        <v>16</v>
      </c>
      <c r="W69">
        <v>24</v>
      </c>
      <c r="X69">
        <v>0</v>
      </c>
      <c r="Y69">
        <v>1</v>
      </c>
      <c r="Z69">
        <v>0</v>
      </c>
      <c r="AA69" t="s">
        <v>41</v>
      </c>
      <c r="AB69" t="s">
        <v>41</v>
      </c>
    </row>
    <row r="70" spans="1:35" x14ac:dyDescent="0.25">
      <c r="A70" s="1">
        <v>45957.774305555555</v>
      </c>
      <c r="B70" t="s">
        <v>35</v>
      </c>
      <c r="C70">
        <v>8.9</v>
      </c>
      <c r="D70">
        <v>128</v>
      </c>
      <c r="E70" t="s">
        <v>42</v>
      </c>
      <c r="F70" t="s">
        <v>47</v>
      </c>
      <c r="G70" t="s">
        <v>38</v>
      </c>
      <c r="H70" t="s">
        <v>39</v>
      </c>
      <c r="I70">
        <v>1.855</v>
      </c>
      <c r="J70" t="s">
        <v>40</v>
      </c>
      <c r="K70">
        <v>1.855</v>
      </c>
      <c r="L70">
        <v>8662.7929999999997</v>
      </c>
      <c r="M70" t="s">
        <v>40</v>
      </c>
      <c r="N70">
        <v>8662.7929999999997</v>
      </c>
      <c r="O70">
        <v>0.92</v>
      </c>
      <c r="P70">
        <v>496.69</v>
      </c>
      <c r="Q70">
        <v>0.11</v>
      </c>
      <c r="R70">
        <v>0</v>
      </c>
      <c r="S70" t="s">
        <v>40</v>
      </c>
      <c r="T70">
        <v>80</v>
      </c>
      <c r="U70">
        <v>30</v>
      </c>
      <c r="V70">
        <v>16</v>
      </c>
      <c r="W70">
        <v>24</v>
      </c>
      <c r="X70">
        <v>0</v>
      </c>
      <c r="Y70">
        <v>1</v>
      </c>
      <c r="Z70">
        <v>0</v>
      </c>
      <c r="AA70" t="s">
        <v>41</v>
      </c>
      <c r="AB70" t="s">
        <v>41</v>
      </c>
    </row>
    <row r="71" spans="1:35" x14ac:dyDescent="0.25">
      <c r="A71" s="1">
        <v>45957.774305555555</v>
      </c>
      <c r="B71" t="s">
        <v>35</v>
      </c>
      <c r="C71">
        <v>8.9</v>
      </c>
      <c r="D71">
        <v>128</v>
      </c>
      <c r="E71" t="s">
        <v>42</v>
      </c>
      <c r="F71" t="s">
        <v>47</v>
      </c>
      <c r="G71" t="s">
        <v>38</v>
      </c>
      <c r="H71" t="s">
        <v>39</v>
      </c>
      <c r="I71">
        <v>1.86</v>
      </c>
      <c r="J71" t="s">
        <v>40</v>
      </c>
      <c r="K71">
        <v>1.86</v>
      </c>
      <c r="L71">
        <v>8567.5560000000005</v>
      </c>
      <c r="M71" t="s">
        <v>40</v>
      </c>
      <c r="N71">
        <v>8567.5560000000005</v>
      </c>
      <c r="O71">
        <v>0.92</v>
      </c>
      <c r="P71">
        <v>495.59</v>
      </c>
      <c r="Q71">
        <v>0.11</v>
      </c>
      <c r="R71">
        <v>0</v>
      </c>
      <c r="S71" t="s">
        <v>40</v>
      </c>
      <c r="T71">
        <v>80</v>
      </c>
      <c r="U71">
        <v>30</v>
      </c>
      <c r="V71">
        <v>16</v>
      </c>
      <c r="W71">
        <v>24</v>
      </c>
      <c r="X71">
        <v>0</v>
      </c>
      <c r="Y71">
        <v>1</v>
      </c>
      <c r="Z71">
        <v>0</v>
      </c>
      <c r="AA71" t="s">
        <v>41</v>
      </c>
      <c r="AB71" t="s">
        <v>41</v>
      </c>
    </row>
    <row r="72" spans="1:35" x14ac:dyDescent="0.25">
      <c r="A72" s="1">
        <v>45957.775000000001</v>
      </c>
      <c r="B72" t="s">
        <v>35</v>
      </c>
      <c r="C72">
        <v>8.9</v>
      </c>
      <c r="D72">
        <v>128</v>
      </c>
      <c r="E72" t="s">
        <v>43</v>
      </c>
      <c r="F72" t="s">
        <v>47</v>
      </c>
      <c r="G72" t="s">
        <v>38</v>
      </c>
      <c r="H72" t="s">
        <v>39</v>
      </c>
      <c r="I72">
        <v>2.6379999999999999</v>
      </c>
      <c r="J72" t="s">
        <v>40</v>
      </c>
      <c r="K72">
        <v>2.6379999999999999</v>
      </c>
      <c r="L72">
        <v>19375.545999999998</v>
      </c>
      <c r="M72" t="s">
        <v>40</v>
      </c>
      <c r="N72">
        <v>19375.545999999998</v>
      </c>
      <c r="O72">
        <v>2.0699999999999998</v>
      </c>
      <c r="P72">
        <v>786.1</v>
      </c>
      <c r="Q72">
        <v>0.11</v>
      </c>
      <c r="R72">
        <v>0</v>
      </c>
      <c r="S72" t="s">
        <v>40</v>
      </c>
      <c r="T72">
        <v>120</v>
      </c>
      <c r="U72">
        <v>45</v>
      </c>
      <c r="V72">
        <v>16</v>
      </c>
      <c r="W72">
        <v>24</v>
      </c>
      <c r="X72">
        <v>0</v>
      </c>
      <c r="Y72">
        <v>1</v>
      </c>
      <c r="Z72">
        <v>0</v>
      </c>
      <c r="AA72" t="s">
        <v>41</v>
      </c>
      <c r="AB72" t="s">
        <v>41</v>
      </c>
      <c r="AC72">
        <f t="shared" ref="AC72" si="84">AVERAGE(I72:I76)</f>
        <v>2.6353999999999997</v>
      </c>
      <c r="AD72">
        <f t="shared" ref="AD72" si="85">_xlfn.STDEV.S(I72:I76)</f>
        <v>6.1073725938410465E-3</v>
      </c>
      <c r="AE72" t="str">
        <f t="shared" ref="AE72" si="86">TEXT(AC72,"0.000") &amp; " ± " &amp; TEXT(AD72,"0.000")</f>
        <v>2.635 ± 0.006</v>
      </c>
      <c r="AF72">
        <f t="shared" ref="AF72" si="87">AVERAGE(L72:L76)</f>
        <v>19242.911</v>
      </c>
      <c r="AG72">
        <f t="shared" ref="AG72" si="88">_xlfn.STDEV.S(L72:L76)</f>
        <v>289.34670137656599</v>
      </c>
      <c r="AH72" t="str">
        <f t="shared" ref="AH72" si="89">TEXT(AF72,"0.0") &amp; " ± " &amp; TEXT(AG72,"0.0")</f>
        <v>19242.9 ± 289.3</v>
      </c>
      <c r="AI72">
        <f t="shared" ref="AI72" si="90">ROUND(AF72/AC72,1)</f>
        <v>7301.7</v>
      </c>
    </row>
    <row r="73" spans="1:35" x14ac:dyDescent="0.25">
      <c r="A73" s="1">
        <v>45957.775000000001</v>
      </c>
      <c r="B73" t="s">
        <v>35</v>
      </c>
      <c r="C73">
        <v>8.9</v>
      </c>
      <c r="D73">
        <v>128</v>
      </c>
      <c r="E73" t="s">
        <v>43</v>
      </c>
      <c r="F73" t="s">
        <v>47</v>
      </c>
      <c r="G73" t="s">
        <v>38</v>
      </c>
      <c r="H73" t="s">
        <v>39</v>
      </c>
      <c r="I73">
        <v>2.6309999999999998</v>
      </c>
      <c r="J73" t="s">
        <v>40</v>
      </c>
      <c r="K73">
        <v>2.6309999999999998</v>
      </c>
      <c r="L73">
        <v>19380.782999999999</v>
      </c>
      <c r="M73" t="s">
        <v>40</v>
      </c>
      <c r="N73">
        <v>19380.782999999999</v>
      </c>
      <c r="O73">
        <v>2.0699999999999998</v>
      </c>
      <c r="P73">
        <v>788.24</v>
      </c>
      <c r="Q73">
        <v>0.11</v>
      </c>
      <c r="R73">
        <v>0</v>
      </c>
      <c r="S73" t="s">
        <v>40</v>
      </c>
      <c r="T73">
        <v>120</v>
      </c>
      <c r="U73">
        <v>45</v>
      </c>
      <c r="V73">
        <v>16</v>
      </c>
      <c r="W73">
        <v>24</v>
      </c>
      <c r="X73">
        <v>0</v>
      </c>
      <c r="Y73">
        <v>1</v>
      </c>
      <c r="Z73">
        <v>0</v>
      </c>
      <c r="AA73" t="s">
        <v>41</v>
      </c>
      <c r="AB73" t="s">
        <v>41</v>
      </c>
    </row>
    <row r="74" spans="1:35" x14ac:dyDescent="0.25">
      <c r="A74" s="1">
        <v>45957.775694444441</v>
      </c>
      <c r="B74" t="s">
        <v>35</v>
      </c>
      <c r="C74">
        <v>8.9</v>
      </c>
      <c r="D74">
        <v>128</v>
      </c>
      <c r="E74" t="s">
        <v>43</v>
      </c>
      <c r="F74" t="s">
        <v>47</v>
      </c>
      <c r="G74" t="s">
        <v>38</v>
      </c>
      <c r="H74" t="s">
        <v>39</v>
      </c>
      <c r="I74">
        <v>2.6320000000000001</v>
      </c>
      <c r="J74" t="s">
        <v>40</v>
      </c>
      <c r="K74">
        <v>2.6320000000000001</v>
      </c>
      <c r="L74">
        <v>18726.145</v>
      </c>
      <c r="M74" t="s">
        <v>40</v>
      </c>
      <c r="N74">
        <v>18726.145</v>
      </c>
      <c r="O74">
        <v>2.0699999999999998</v>
      </c>
      <c r="P74">
        <v>787.94</v>
      </c>
      <c r="Q74">
        <v>0.11</v>
      </c>
      <c r="R74">
        <v>0</v>
      </c>
      <c r="S74" t="s">
        <v>40</v>
      </c>
      <c r="T74">
        <v>120</v>
      </c>
      <c r="U74">
        <v>45</v>
      </c>
      <c r="V74">
        <v>16</v>
      </c>
      <c r="W74">
        <v>24</v>
      </c>
      <c r="X74">
        <v>0</v>
      </c>
      <c r="Y74">
        <v>1</v>
      </c>
      <c r="Z74">
        <v>0</v>
      </c>
      <c r="AA74" t="s">
        <v>41</v>
      </c>
      <c r="AB74" t="s">
        <v>41</v>
      </c>
    </row>
    <row r="75" spans="1:35" x14ac:dyDescent="0.25">
      <c r="A75" s="1">
        <v>45957.775694444441</v>
      </c>
      <c r="B75" t="s">
        <v>35</v>
      </c>
      <c r="C75">
        <v>8.9</v>
      </c>
      <c r="D75">
        <v>128</v>
      </c>
      <c r="E75" t="s">
        <v>43</v>
      </c>
      <c r="F75" t="s">
        <v>47</v>
      </c>
      <c r="G75" t="s">
        <v>38</v>
      </c>
      <c r="H75" t="s">
        <v>39</v>
      </c>
      <c r="I75">
        <v>2.6309999999999998</v>
      </c>
      <c r="J75" t="s">
        <v>40</v>
      </c>
      <c r="K75">
        <v>2.6309999999999998</v>
      </c>
      <c r="L75">
        <v>19387.447</v>
      </c>
      <c r="M75" t="s">
        <v>40</v>
      </c>
      <c r="N75">
        <v>19387.447</v>
      </c>
      <c r="O75">
        <v>2.0699999999999998</v>
      </c>
      <c r="P75">
        <v>788.24</v>
      </c>
      <c r="Q75">
        <v>0.11</v>
      </c>
      <c r="R75">
        <v>0</v>
      </c>
      <c r="S75" t="s">
        <v>40</v>
      </c>
      <c r="T75">
        <v>120</v>
      </c>
      <c r="U75">
        <v>45</v>
      </c>
      <c r="V75">
        <v>16</v>
      </c>
      <c r="W75">
        <v>24</v>
      </c>
      <c r="X75">
        <v>0</v>
      </c>
      <c r="Y75">
        <v>1</v>
      </c>
      <c r="Z75">
        <v>0</v>
      </c>
      <c r="AA75" t="s">
        <v>41</v>
      </c>
      <c r="AB75" t="s">
        <v>41</v>
      </c>
    </row>
    <row r="76" spans="1:35" x14ac:dyDescent="0.25">
      <c r="A76" s="1">
        <v>45957.776388888888</v>
      </c>
      <c r="B76" t="s">
        <v>35</v>
      </c>
      <c r="C76">
        <v>8.9</v>
      </c>
      <c r="D76">
        <v>128</v>
      </c>
      <c r="E76" t="s">
        <v>43</v>
      </c>
      <c r="F76" t="s">
        <v>47</v>
      </c>
      <c r="G76" t="s">
        <v>38</v>
      </c>
      <c r="H76" t="s">
        <v>39</v>
      </c>
      <c r="I76">
        <v>2.645</v>
      </c>
      <c r="J76" t="s">
        <v>40</v>
      </c>
      <c r="K76">
        <v>2.645</v>
      </c>
      <c r="L76">
        <v>19344.633999999998</v>
      </c>
      <c r="M76" t="s">
        <v>40</v>
      </c>
      <c r="N76">
        <v>19344.633999999998</v>
      </c>
      <c r="O76">
        <v>2.0699999999999998</v>
      </c>
      <c r="P76">
        <v>784.07</v>
      </c>
      <c r="Q76">
        <v>0.11</v>
      </c>
      <c r="R76">
        <v>0</v>
      </c>
      <c r="S76" t="s">
        <v>40</v>
      </c>
      <c r="T76">
        <v>120</v>
      </c>
      <c r="U76">
        <v>45</v>
      </c>
      <c r="V76">
        <v>16</v>
      </c>
      <c r="W76">
        <v>24</v>
      </c>
      <c r="X76">
        <v>0</v>
      </c>
      <c r="Y76">
        <v>1</v>
      </c>
      <c r="Z76">
        <v>0</v>
      </c>
      <c r="AA76" t="s">
        <v>41</v>
      </c>
      <c r="AB76" t="s">
        <v>41</v>
      </c>
    </row>
    <row r="77" spans="1:35" x14ac:dyDescent="0.25">
      <c r="A77" s="1">
        <v>45957.777777777781</v>
      </c>
      <c r="B77" t="s">
        <v>35</v>
      </c>
      <c r="C77">
        <v>8.9</v>
      </c>
      <c r="D77">
        <v>128</v>
      </c>
      <c r="E77" t="s">
        <v>44</v>
      </c>
      <c r="F77" t="s">
        <v>47</v>
      </c>
      <c r="G77" t="s">
        <v>38</v>
      </c>
      <c r="H77" t="s">
        <v>39</v>
      </c>
      <c r="I77">
        <v>10.015000000000001</v>
      </c>
      <c r="J77" t="s">
        <v>40</v>
      </c>
      <c r="K77">
        <v>10.015000000000001</v>
      </c>
      <c r="L77">
        <v>74660.028000000006</v>
      </c>
      <c r="M77" t="s">
        <v>40</v>
      </c>
      <c r="N77">
        <v>74660.028000000006</v>
      </c>
      <c r="O77">
        <v>8.2899999999999991</v>
      </c>
      <c r="P77">
        <v>828.22</v>
      </c>
      <c r="Q77">
        <v>0.11</v>
      </c>
      <c r="R77">
        <v>0</v>
      </c>
      <c r="S77" t="s">
        <v>40</v>
      </c>
      <c r="T77">
        <v>240</v>
      </c>
      <c r="U77">
        <v>90</v>
      </c>
      <c r="V77">
        <v>16</v>
      </c>
      <c r="W77">
        <v>24</v>
      </c>
      <c r="X77">
        <v>0</v>
      </c>
      <c r="Y77">
        <v>1</v>
      </c>
      <c r="Z77">
        <v>0</v>
      </c>
      <c r="AA77" t="s">
        <v>41</v>
      </c>
      <c r="AB77" t="s">
        <v>41</v>
      </c>
      <c r="AC77">
        <f t="shared" ref="AC77" si="91">AVERAGE(I77:I81)</f>
        <v>10.200399999999998</v>
      </c>
      <c r="AD77">
        <f t="shared" ref="AD77" si="92">_xlfn.STDEV.S(I77:I81)</f>
        <v>0.18513724638764611</v>
      </c>
      <c r="AE77" t="str">
        <f t="shared" ref="AE77" si="93">TEXT(AC77,"0.000") &amp; " ± " &amp; TEXT(AD77,"0.000")</f>
        <v>10.200 ± 0.185</v>
      </c>
      <c r="AF77">
        <f t="shared" ref="AF77" si="94">AVERAGE(L77:L81)</f>
        <v>76663.573800000013</v>
      </c>
      <c r="AG77">
        <f t="shared" ref="AG77" si="95">_xlfn.STDEV.S(L77:L81)</f>
        <v>1122.1249480831864</v>
      </c>
      <c r="AH77" t="str">
        <f t="shared" ref="AH77" si="96">TEXT(AF77,"0.0") &amp; " ± " &amp; TEXT(AG77,"0.0")</f>
        <v>76663.6 ± 1122.1</v>
      </c>
      <c r="AI77">
        <f t="shared" ref="AI77" si="97">ROUND(AF77/AC77,1)</f>
        <v>7515.7</v>
      </c>
    </row>
    <row r="78" spans="1:35" x14ac:dyDescent="0.25">
      <c r="A78" s="1">
        <v>45957.77847222222</v>
      </c>
      <c r="B78" t="s">
        <v>35</v>
      </c>
      <c r="C78">
        <v>8.9</v>
      </c>
      <c r="D78">
        <v>128</v>
      </c>
      <c r="E78" t="s">
        <v>44</v>
      </c>
      <c r="F78" t="s">
        <v>47</v>
      </c>
      <c r="G78" t="s">
        <v>38</v>
      </c>
      <c r="H78" t="s">
        <v>39</v>
      </c>
      <c r="I78">
        <v>9.9909999999999997</v>
      </c>
      <c r="J78" t="s">
        <v>40</v>
      </c>
      <c r="K78">
        <v>9.9909999999999997</v>
      </c>
      <c r="L78">
        <v>77163.679999999993</v>
      </c>
      <c r="M78" t="s">
        <v>40</v>
      </c>
      <c r="N78">
        <v>77163.679999999993</v>
      </c>
      <c r="O78">
        <v>8.2899999999999991</v>
      </c>
      <c r="P78">
        <v>830.2</v>
      </c>
      <c r="Q78">
        <v>0.11</v>
      </c>
      <c r="R78">
        <v>0</v>
      </c>
      <c r="S78" t="s">
        <v>40</v>
      </c>
      <c r="T78">
        <v>240</v>
      </c>
      <c r="U78">
        <v>90</v>
      </c>
      <c r="V78">
        <v>16</v>
      </c>
      <c r="W78">
        <v>24</v>
      </c>
      <c r="X78">
        <v>0</v>
      </c>
      <c r="Y78">
        <v>1</v>
      </c>
      <c r="Z78">
        <v>0</v>
      </c>
      <c r="AA78" t="s">
        <v>41</v>
      </c>
      <c r="AB78" t="s">
        <v>41</v>
      </c>
    </row>
    <row r="79" spans="1:35" x14ac:dyDescent="0.25">
      <c r="A79" s="1">
        <v>45957.779861111114</v>
      </c>
      <c r="B79" t="s">
        <v>35</v>
      </c>
      <c r="C79">
        <v>8.9</v>
      </c>
      <c r="D79">
        <v>128</v>
      </c>
      <c r="E79" t="s">
        <v>44</v>
      </c>
      <c r="F79" t="s">
        <v>47</v>
      </c>
      <c r="G79" t="s">
        <v>38</v>
      </c>
      <c r="H79" t="s">
        <v>39</v>
      </c>
      <c r="I79">
        <v>10.313000000000001</v>
      </c>
      <c r="J79" t="s">
        <v>40</v>
      </c>
      <c r="K79">
        <v>10.313000000000001</v>
      </c>
      <c r="L79">
        <v>77053.585000000006</v>
      </c>
      <c r="M79" t="s">
        <v>40</v>
      </c>
      <c r="N79">
        <v>77053.585000000006</v>
      </c>
      <c r="O79">
        <v>8.2899999999999991</v>
      </c>
      <c r="P79">
        <v>804.29</v>
      </c>
      <c r="Q79">
        <v>0.11</v>
      </c>
      <c r="R79">
        <v>0</v>
      </c>
      <c r="S79" t="s">
        <v>40</v>
      </c>
      <c r="T79">
        <v>240</v>
      </c>
      <c r="U79">
        <v>90</v>
      </c>
      <c r="V79">
        <v>16</v>
      </c>
      <c r="W79">
        <v>24</v>
      </c>
      <c r="X79">
        <v>0</v>
      </c>
      <c r="Y79">
        <v>1</v>
      </c>
      <c r="Z79">
        <v>0</v>
      </c>
      <c r="AA79" t="s">
        <v>41</v>
      </c>
      <c r="AB79" t="s">
        <v>41</v>
      </c>
    </row>
    <row r="80" spans="1:35" x14ac:dyDescent="0.25">
      <c r="A80" s="1">
        <v>45957.780555555553</v>
      </c>
      <c r="B80" t="s">
        <v>35</v>
      </c>
      <c r="C80">
        <v>8.9</v>
      </c>
      <c r="D80">
        <v>128</v>
      </c>
      <c r="E80" t="s">
        <v>44</v>
      </c>
      <c r="F80" t="s">
        <v>47</v>
      </c>
      <c r="G80" t="s">
        <v>38</v>
      </c>
      <c r="H80" t="s">
        <v>39</v>
      </c>
      <c r="I80">
        <v>10.398</v>
      </c>
      <c r="J80" t="s">
        <v>40</v>
      </c>
      <c r="K80">
        <v>10.398</v>
      </c>
      <c r="L80">
        <v>77234.171000000002</v>
      </c>
      <c r="M80" t="s">
        <v>40</v>
      </c>
      <c r="N80">
        <v>77234.171000000002</v>
      </c>
      <c r="O80">
        <v>8.2899999999999991</v>
      </c>
      <c r="P80">
        <v>797.72</v>
      </c>
      <c r="Q80">
        <v>0.11</v>
      </c>
      <c r="R80">
        <v>0</v>
      </c>
      <c r="S80" t="s">
        <v>40</v>
      </c>
      <c r="T80">
        <v>240</v>
      </c>
      <c r="U80">
        <v>90</v>
      </c>
      <c r="V80">
        <v>16</v>
      </c>
      <c r="W80">
        <v>24</v>
      </c>
      <c r="X80">
        <v>0</v>
      </c>
      <c r="Y80">
        <v>1</v>
      </c>
      <c r="Z80">
        <v>0</v>
      </c>
      <c r="AA80" t="s">
        <v>41</v>
      </c>
      <c r="AB80" t="s">
        <v>41</v>
      </c>
    </row>
    <row r="81" spans="1:28" x14ac:dyDescent="0.25">
      <c r="A81" s="1">
        <v>45957.781944444447</v>
      </c>
      <c r="B81" t="s">
        <v>35</v>
      </c>
      <c r="C81">
        <v>8.9</v>
      </c>
      <c r="D81">
        <v>128</v>
      </c>
      <c r="E81" t="s">
        <v>44</v>
      </c>
      <c r="F81" t="s">
        <v>47</v>
      </c>
      <c r="G81" t="s">
        <v>38</v>
      </c>
      <c r="H81" t="s">
        <v>39</v>
      </c>
      <c r="I81">
        <v>10.285</v>
      </c>
      <c r="J81" t="s">
        <v>40</v>
      </c>
      <c r="K81">
        <v>10.285</v>
      </c>
      <c r="L81">
        <v>77206.404999999999</v>
      </c>
      <c r="M81" t="s">
        <v>40</v>
      </c>
      <c r="N81">
        <v>77206.404999999999</v>
      </c>
      <c r="O81">
        <v>8.2899999999999991</v>
      </c>
      <c r="P81">
        <v>806.45</v>
      </c>
      <c r="Q81">
        <v>0.11</v>
      </c>
      <c r="R81">
        <v>0</v>
      </c>
      <c r="S81" t="s">
        <v>40</v>
      </c>
      <c r="T81">
        <v>240</v>
      </c>
      <c r="U81">
        <v>90</v>
      </c>
      <c r="V81">
        <v>16</v>
      </c>
      <c r="W81">
        <v>24</v>
      </c>
      <c r="X81">
        <v>0</v>
      </c>
      <c r="Y81">
        <v>1</v>
      </c>
      <c r="Z81">
        <v>0</v>
      </c>
      <c r="AA81" t="s">
        <v>41</v>
      </c>
      <c r="AB8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E2ED0-E963-4FBE-88CB-87ABF22C6F9E}">
  <dimension ref="A1:J17"/>
  <sheetViews>
    <sheetView tabSelected="1" workbookViewId="0">
      <selection activeCell="B29" sqref="B29"/>
    </sheetView>
  </sheetViews>
  <sheetFormatPr defaultRowHeight="15" x14ac:dyDescent="0.25"/>
  <cols>
    <col min="1" max="1" width="10.85546875" bestFit="1" customWidth="1"/>
    <col min="2" max="2" width="23.85546875" bestFit="1" customWidth="1"/>
    <col min="3" max="4" width="14.42578125" bestFit="1" customWidth="1"/>
    <col min="5" max="5" width="16.140625" bestFit="1" customWidth="1"/>
    <col min="6" max="6" width="14.42578125" bestFit="1" customWidth="1"/>
    <col min="7" max="7" width="15.140625" bestFit="1" customWidth="1"/>
    <col min="8" max="8" width="11.42578125" bestFit="1" customWidth="1"/>
    <col min="9" max="9" width="16.140625" bestFit="1" customWidth="1"/>
    <col min="10" max="10" width="15.7109375" bestFit="1" customWidth="1"/>
  </cols>
  <sheetData>
    <row r="1" spans="1:10" x14ac:dyDescent="0.25">
      <c r="A1" s="2" t="s">
        <v>4</v>
      </c>
      <c r="B1" s="2" t="s">
        <v>5</v>
      </c>
      <c r="C1" s="2" t="s">
        <v>48</v>
      </c>
      <c r="D1" s="2" t="s">
        <v>49</v>
      </c>
      <c r="E1" s="2" t="s">
        <v>52</v>
      </c>
      <c r="F1" s="2" t="s">
        <v>50</v>
      </c>
      <c r="G1" s="2" t="s">
        <v>51</v>
      </c>
      <c r="H1" s="2" t="s">
        <v>53</v>
      </c>
      <c r="I1" s="2" t="s">
        <v>86</v>
      </c>
      <c r="J1" s="2" t="s">
        <v>87</v>
      </c>
    </row>
    <row r="2" spans="1:10" x14ac:dyDescent="0.25">
      <c r="A2" t="s">
        <v>36</v>
      </c>
      <c r="B2" t="s">
        <v>37</v>
      </c>
      <c r="C2">
        <v>0.16520000000000001</v>
      </c>
      <c r="D2" t="s">
        <v>54</v>
      </c>
      <c r="E2">
        <v>4.6779999999999999</v>
      </c>
      <c r="F2">
        <v>960.42319999999995</v>
      </c>
      <c r="G2" t="s">
        <v>55</v>
      </c>
      <c r="H2">
        <v>191.22900000000001</v>
      </c>
      <c r="I2">
        <f>ROUND(F2/C2,1)</f>
        <v>5813.7</v>
      </c>
      <c r="J2">
        <f>ROUND(H2/E2,1)</f>
        <v>40.9</v>
      </c>
    </row>
    <row r="3" spans="1:10" x14ac:dyDescent="0.25">
      <c r="A3" t="s">
        <v>36</v>
      </c>
      <c r="B3" t="s">
        <v>45</v>
      </c>
      <c r="C3">
        <v>0.37320000000000003</v>
      </c>
      <c r="D3" t="s">
        <v>62</v>
      </c>
      <c r="E3">
        <v>3.9510000000000001</v>
      </c>
      <c r="F3">
        <v>1288.8126</v>
      </c>
      <c r="G3" t="s">
        <v>63</v>
      </c>
      <c r="H3">
        <v>192.3</v>
      </c>
      <c r="I3">
        <f t="shared" ref="I3:I17" si="0">ROUND(F3/C3,1)</f>
        <v>3453.4</v>
      </c>
      <c r="J3">
        <f t="shared" ref="J3:J17" si="1">ROUND(H3/E3,1)</f>
        <v>48.7</v>
      </c>
    </row>
    <row r="4" spans="1:10" x14ac:dyDescent="0.25">
      <c r="A4" t="s">
        <v>36</v>
      </c>
      <c r="B4" t="s">
        <v>46</v>
      </c>
      <c r="C4">
        <v>0.57579999999999998</v>
      </c>
      <c r="D4" t="s">
        <v>70</v>
      </c>
      <c r="E4">
        <v>3.766</v>
      </c>
      <c r="F4">
        <v>2697.1163999999999</v>
      </c>
      <c r="G4" t="s">
        <v>71</v>
      </c>
      <c r="H4">
        <v>191.911</v>
      </c>
      <c r="I4">
        <f t="shared" si="0"/>
        <v>4684.1000000000004</v>
      </c>
      <c r="J4">
        <f t="shared" si="1"/>
        <v>51</v>
      </c>
    </row>
    <row r="5" spans="1:10" x14ac:dyDescent="0.25">
      <c r="A5" t="s">
        <v>36</v>
      </c>
      <c r="B5" t="s">
        <v>47</v>
      </c>
      <c r="C5">
        <v>1.7753999999999999</v>
      </c>
      <c r="D5" t="s">
        <v>78</v>
      </c>
      <c r="E5">
        <v>4.2009999999999996</v>
      </c>
      <c r="F5">
        <v>3199.4057999999995</v>
      </c>
      <c r="G5" t="s">
        <v>79</v>
      </c>
      <c r="H5">
        <v>193.255</v>
      </c>
      <c r="I5">
        <f t="shared" si="0"/>
        <v>1802.1</v>
      </c>
      <c r="J5">
        <f t="shared" si="1"/>
        <v>46</v>
      </c>
    </row>
    <row r="6" spans="1:10" x14ac:dyDescent="0.25">
      <c r="A6" t="s">
        <v>42</v>
      </c>
      <c r="B6" t="s">
        <v>37</v>
      </c>
      <c r="C6">
        <v>0.35659999999999997</v>
      </c>
      <c r="D6" t="s">
        <v>56</v>
      </c>
      <c r="E6">
        <v>4.0780000000000003</v>
      </c>
      <c r="F6">
        <v>2726.6657999999998</v>
      </c>
      <c r="G6" t="s">
        <v>57</v>
      </c>
      <c r="H6">
        <v>566.45799999999997</v>
      </c>
      <c r="I6">
        <f t="shared" si="0"/>
        <v>7646.3</v>
      </c>
      <c r="J6">
        <f t="shared" si="1"/>
        <v>138.9</v>
      </c>
    </row>
    <row r="7" spans="1:10" x14ac:dyDescent="0.25">
      <c r="A7" t="s">
        <v>42</v>
      </c>
      <c r="B7" t="s">
        <v>45</v>
      </c>
      <c r="C7">
        <v>0.55180000000000007</v>
      </c>
      <c r="D7" t="s">
        <v>64</v>
      </c>
      <c r="E7">
        <v>4.0510000000000002</v>
      </c>
      <c r="F7">
        <v>3516.0126000000005</v>
      </c>
      <c r="G7" t="s">
        <v>65</v>
      </c>
      <c r="H7">
        <v>577.45000000000005</v>
      </c>
      <c r="I7">
        <f t="shared" si="0"/>
        <v>6371.9</v>
      </c>
      <c r="J7">
        <f t="shared" si="1"/>
        <v>142.5</v>
      </c>
    </row>
    <row r="8" spans="1:10" x14ac:dyDescent="0.25">
      <c r="A8" t="s">
        <v>42</v>
      </c>
      <c r="B8" t="s">
        <v>46</v>
      </c>
      <c r="C8">
        <v>1.0879999999999999</v>
      </c>
      <c r="D8" t="s">
        <v>72</v>
      </c>
      <c r="E8">
        <v>4.1550000000000002</v>
      </c>
      <c r="F8">
        <v>7253.2866000000013</v>
      </c>
      <c r="G8" t="s">
        <v>73</v>
      </c>
      <c r="H8">
        <v>571.68399999999997</v>
      </c>
      <c r="I8">
        <f t="shared" si="0"/>
        <v>6666.6</v>
      </c>
      <c r="J8">
        <f t="shared" si="1"/>
        <v>137.6</v>
      </c>
    </row>
    <row r="9" spans="1:10" x14ac:dyDescent="0.25">
      <c r="A9" t="s">
        <v>42</v>
      </c>
      <c r="B9" t="s">
        <v>47</v>
      </c>
      <c r="C9">
        <v>1.966</v>
      </c>
      <c r="D9" t="s">
        <v>80</v>
      </c>
      <c r="E9">
        <v>3.9089999999999998</v>
      </c>
      <c r="F9">
        <v>8545.0185999999994</v>
      </c>
      <c r="G9" t="s">
        <v>81</v>
      </c>
      <c r="H9">
        <v>576.39300000000003</v>
      </c>
      <c r="I9">
        <f t="shared" si="0"/>
        <v>4346.3999999999996</v>
      </c>
      <c r="J9">
        <f t="shared" si="1"/>
        <v>147.5</v>
      </c>
    </row>
    <row r="10" spans="1:10" x14ac:dyDescent="0.25">
      <c r="A10" t="s">
        <v>43</v>
      </c>
      <c r="B10" t="s">
        <v>37</v>
      </c>
      <c r="C10">
        <v>0.73980000000000001</v>
      </c>
      <c r="D10" t="s">
        <v>58</v>
      </c>
      <c r="E10">
        <v>4.3819999999999997</v>
      </c>
      <c r="F10">
        <v>6055.6679999999997</v>
      </c>
      <c r="G10" t="s">
        <v>59</v>
      </c>
      <c r="H10">
        <v>1288.578</v>
      </c>
      <c r="I10">
        <f t="shared" si="0"/>
        <v>8185.5</v>
      </c>
      <c r="J10">
        <f t="shared" si="1"/>
        <v>294.10000000000002</v>
      </c>
    </row>
    <row r="11" spans="1:10" x14ac:dyDescent="0.25">
      <c r="A11" t="s">
        <v>43</v>
      </c>
      <c r="B11" t="s">
        <v>45</v>
      </c>
      <c r="C11">
        <v>0.97259999999999991</v>
      </c>
      <c r="D11" t="s">
        <v>66</v>
      </c>
      <c r="E11">
        <v>4.0990000000000002</v>
      </c>
      <c r="F11">
        <v>7885.6610000000001</v>
      </c>
      <c r="G11" t="s">
        <v>67</v>
      </c>
      <c r="H11">
        <v>1273.779</v>
      </c>
      <c r="I11">
        <f t="shared" si="0"/>
        <v>8107.8</v>
      </c>
      <c r="J11">
        <f t="shared" si="1"/>
        <v>310.8</v>
      </c>
    </row>
    <row r="12" spans="1:10" x14ac:dyDescent="0.25">
      <c r="A12" t="s">
        <v>43</v>
      </c>
      <c r="B12" t="s">
        <v>46</v>
      </c>
      <c r="C12">
        <v>2.1856</v>
      </c>
      <c r="D12" t="s">
        <v>74</v>
      </c>
      <c r="E12">
        <v>3.9390000000000001</v>
      </c>
      <c r="F12">
        <v>16241.939600000002</v>
      </c>
      <c r="G12" t="s">
        <v>75</v>
      </c>
      <c r="H12">
        <v>1290.864</v>
      </c>
      <c r="I12">
        <f t="shared" si="0"/>
        <v>7431.3</v>
      </c>
      <c r="J12">
        <f t="shared" si="1"/>
        <v>327.7</v>
      </c>
    </row>
    <row r="13" spans="1:10" x14ac:dyDescent="0.25">
      <c r="A13" t="s">
        <v>43</v>
      </c>
      <c r="B13" t="s">
        <v>47</v>
      </c>
      <c r="C13">
        <v>2.6353999999999997</v>
      </c>
      <c r="D13" t="s">
        <v>82</v>
      </c>
      <c r="E13">
        <v>4.1639999999999997</v>
      </c>
      <c r="F13">
        <v>19242.911</v>
      </c>
      <c r="G13" t="s">
        <v>83</v>
      </c>
      <c r="H13">
        <v>1265.0260000000001</v>
      </c>
      <c r="I13">
        <f t="shared" si="0"/>
        <v>7301.7</v>
      </c>
      <c r="J13">
        <f t="shared" si="1"/>
        <v>303.8</v>
      </c>
    </row>
    <row r="14" spans="1:10" x14ac:dyDescent="0.25">
      <c r="A14" t="s">
        <v>44</v>
      </c>
      <c r="B14" t="s">
        <v>37</v>
      </c>
      <c r="C14">
        <v>2.8757999999999999</v>
      </c>
      <c r="D14" t="s">
        <v>60</v>
      </c>
      <c r="E14">
        <v>4.484</v>
      </c>
      <c r="F14">
        <v>24647.852200000001</v>
      </c>
      <c r="G14" t="s">
        <v>61</v>
      </c>
      <c r="H14">
        <v>5077.6390000000001</v>
      </c>
      <c r="I14">
        <f t="shared" si="0"/>
        <v>8570.7999999999993</v>
      </c>
      <c r="J14">
        <f t="shared" si="1"/>
        <v>1132.4000000000001</v>
      </c>
    </row>
    <row r="15" spans="1:10" x14ac:dyDescent="0.25">
      <c r="A15" t="s">
        <v>44</v>
      </c>
      <c r="B15" t="s">
        <v>45</v>
      </c>
      <c r="C15">
        <v>3.9804000000000004</v>
      </c>
      <c r="D15" t="s">
        <v>68</v>
      </c>
      <c r="E15">
        <v>4.2370000000000001</v>
      </c>
      <c r="F15">
        <v>31773.344799999999</v>
      </c>
      <c r="G15" t="s">
        <v>69</v>
      </c>
      <c r="H15">
        <v>5094.5839999999998</v>
      </c>
      <c r="I15">
        <f t="shared" si="0"/>
        <v>7982.5</v>
      </c>
      <c r="J15">
        <f t="shared" si="1"/>
        <v>1202.4000000000001</v>
      </c>
    </row>
    <row r="16" spans="1:10" x14ac:dyDescent="0.25">
      <c r="A16" t="s">
        <v>44</v>
      </c>
      <c r="B16" t="s">
        <v>46</v>
      </c>
      <c r="C16">
        <v>8.4573999999999998</v>
      </c>
      <c r="D16" t="s">
        <v>76</v>
      </c>
      <c r="E16">
        <v>4.33</v>
      </c>
      <c r="F16">
        <v>65308.434400000006</v>
      </c>
      <c r="G16" t="s">
        <v>77</v>
      </c>
      <c r="H16">
        <v>5056.7690000000002</v>
      </c>
      <c r="I16">
        <f t="shared" si="0"/>
        <v>7722</v>
      </c>
      <c r="J16">
        <f t="shared" si="1"/>
        <v>1167.8</v>
      </c>
    </row>
    <row r="17" spans="1:10" x14ac:dyDescent="0.25">
      <c r="A17" t="s">
        <v>44</v>
      </c>
      <c r="B17" t="s">
        <v>47</v>
      </c>
      <c r="C17">
        <v>10.200399999999998</v>
      </c>
      <c r="D17" t="s">
        <v>84</v>
      </c>
      <c r="E17">
        <v>4.0090000000000003</v>
      </c>
      <c r="F17">
        <v>76663.573800000013</v>
      </c>
      <c r="G17" t="s">
        <v>85</v>
      </c>
      <c r="H17">
        <v>5102.2470000000003</v>
      </c>
      <c r="I17">
        <f t="shared" si="0"/>
        <v>7515.7</v>
      </c>
      <c r="J17">
        <f t="shared" si="1"/>
        <v>1272.7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CFE4-54FF-4E28-87D7-D6D923D0988E}">
  <dimension ref="A1:I5"/>
  <sheetViews>
    <sheetView zoomScale="85" zoomScaleNormal="85" workbookViewId="0">
      <selection activeCell="H5" sqref="H5"/>
    </sheetView>
  </sheetViews>
  <sheetFormatPr defaultRowHeight="15" x14ac:dyDescent="0.25"/>
  <cols>
    <col min="1" max="1" width="10.85546875" bestFit="1" customWidth="1"/>
    <col min="2" max="3" width="14.42578125" bestFit="1" customWidth="1"/>
    <col min="4" max="4" width="16.140625" bestFit="1" customWidth="1"/>
    <col min="5" max="5" width="14.42578125" bestFit="1" customWidth="1"/>
    <col min="6" max="6" width="15.140625" bestFit="1" customWidth="1"/>
    <col min="7" max="7" width="11.42578125" bestFit="1" customWidth="1"/>
    <col min="8" max="8" width="16.140625" bestFit="1" customWidth="1"/>
    <col min="9" max="9" width="15.7109375" bestFit="1" customWidth="1"/>
  </cols>
  <sheetData>
    <row r="1" spans="1:9" x14ac:dyDescent="0.25">
      <c r="A1" s="2" t="s">
        <v>4</v>
      </c>
      <c r="B1" s="2" t="s">
        <v>48</v>
      </c>
      <c r="C1" s="2" t="s">
        <v>49</v>
      </c>
      <c r="D1" s="2" t="s">
        <v>52</v>
      </c>
      <c r="E1" s="2" t="s">
        <v>50</v>
      </c>
      <c r="F1" s="2" t="s">
        <v>51</v>
      </c>
      <c r="G1" s="2" t="s">
        <v>53</v>
      </c>
      <c r="H1" s="2" t="s">
        <v>86</v>
      </c>
      <c r="I1" s="2" t="s">
        <v>87</v>
      </c>
    </row>
    <row r="2" spans="1:9" x14ac:dyDescent="0.25">
      <c r="A2" t="s">
        <v>36</v>
      </c>
      <c r="B2">
        <v>1.7754000000000001</v>
      </c>
      <c r="C2" t="s">
        <v>78</v>
      </c>
      <c r="D2">
        <v>4.2009999999999996</v>
      </c>
      <c r="E2">
        <v>3199.4057999999995</v>
      </c>
      <c r="F2" t="s">
        <v>79</v>
      </c>
      <c r="G2">
        <v>193.255</v>
      </c>
      <c r="H2">
        <f t="shared" ref="H2:H5" si="0">ROUND(E2/B2,1)</f>
        <v>1802.1</v>
      </c>
      <c r="I2">
        <f t="shared" ref="I2:I5" si="1">ROUND(G2/D2,1)</f>
        <v>46</v>
      </c>
    </row>
    <row r="3" spans="1:9" x14ac:dyDescent="0.25">
      <c r="A3" t="s">
        <v>42</v>
      </c>
      <c r="B3">
        <v>1.966</v>
      </c>
      <c r="C3" t="s">
        <v>80</v>
      </c>
      <c r="D3">
        <v>3.9089999999999998</v>
      </c>
      <c r="E3">
        <v>8545.0185999999994</v>
      </c>
      <c r="F3" t="s">
        <v>81</v>
      </c>
      <c r="G3">
        <v>576.39300000000003</v>
      </c>
      <c r="H3">
        <f t="shared" si="0"/>
        <v>4346.3999999999996</v>
      </c>
      <c r="I3">
        <f t="shared" si="1"/>
        <v>147.5</v>
      </c>
    </row>
    <row r="4" spans="1:9" x14ac:dyDescent="0.25">
      <c r="A4" t="s">
        <v>43</v>
      </c>
      <c r="B4">
        <v>2.6353999999999997</v>
      </c>
      <c r="C4" t="s">
        <v>82</v>
      </c>
      <c r="D4">
        <v>4.1639999999999997</v>
      </c>
      <c r="E4">
        <v>19242.911</v>
      </c>
      <c r="F4" t="s">
        <v>83</v>
      </c>
      <c r="G4">
        <v>1265.0260000000001</v>
      </c>
      <c r="H4">
        <f t="shared" si="0"/>
        <v>7301.7</v>
      </c>
      <c r="I4">
        <f t="shared" si="1"/>
        <v>303.8</v>
      </c>
    </row>
    <row r="5" spans="1:9" x14ac:dyDescent="0.25">
      <c r="A5" t="s">
        <v>44</v>
      </c>
      <c r="B5">
        <v>10.200399999999998</v>
      </c>
      <c r="C5" t="s">
        <v>84</v>
      </c>
      <c r="D5">
        <v>4.0090000000000003</v>
      </c>
      <c r="E5">
        <v>76663.573800000013</v>
      </c>
      <c r="F5" t="s">
        <v>85</v>
      </c>
      <c r="G5">
        <v>5102.2470000000003</v>
      </c>
      <c r="H5">
        <f t="shared" si="0"/>
        <v>7515.7</v>
      </c>
      <c r="I5">
        <f t="shared" si="1"/>
        <v>1272.7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Processed Data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Dumitru Zotea</cp:lastModifiedBy>
  <dcterms:created xsi:type="dcterms:W3CDTF">2025-10-28T16:31:36Z</dcterms:created>
  <dcterms:modified xsi:type="dcterms:W3CDTF">2025-10-29T02:28:00Z</dcterms:modified>
</cp:coreProperties>
</file>